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drawings/drawing5.xml" ContentType="application/vnd.openxmlformats-officedocument.drawing+xml"/>
  <Override PartName="/xl/tables/table5.xml" ContentType="application/vnd.openxmlformats-officedocument.spreadsheetml.table+xml"/>
  <Override PartName="/xl/drawings/drawing6.xml" ContentType="application/vnd.openxmlformats-officedocument.drawing+xml"/>
  <Override PartName="/xl/tables/table6.xml" ContentType="application/vnd.openxmlformats-officedocument.spreadsheetml.table+xml"/>
  <Override PartName="/xl/drawings/drawing7.xml" ContentType="application/vnd.openxmlformats-officedocument.drawing+xml"/>
  <Override PartName="/xl/tables/table7.xml" ContentType="application/vnd.openxmlformats-officedocument.spreadsheetml.table+xml"/>
  <Override PartName="/xl/drawings/drawing8.xml" ContentType="application/vnd.openxmlformats-officedocument.drawing+xml"/>
  <Override PartName="/xl/tables/table8.xml" ContentType="application/vnd.openxmlformats-officedocument.spreadsheetml.table+xml"/>
  <Override PartName="/xl/drawings/drawing9.xml" ContentType="application/vnd.openxmlformats-officedocument.drawing+xml"/>
  <Override PartName="/xl/tables/table9.xml" ContentType="application/vnd.openxmlformats-officedocument.spreadsheetml.table+xml"/>
  <Override PartName="/xl/drawings/drawing10.xml" ContentType="application/vnd.openxmlformats-officedocument.drawing+xml"/>
  <Override PartName="/xl/tables/table10.xml" ContentType="application/vnd.openxmlformats-officedocument.spreadsheetml.table+xml"/>
  <Override PartName="/xl/drawings/drawing11.xml" ContentType="application/vnd.openxmlformats-officedocument.drawing+xml"/>
  <Override PartName="/xl/tables/table11.xml" ContentType="application/vnd.openxmlformats-officedocument.spreadsheetml.table+xml"/>
  <Override PartName="/xl/drawings/drawing12.xml" ContentType="application/vnd.openxmlformats-officedocument.drawing+xml"/>
  <Override PartName="/xl/tables/table1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cer\Desktop\"/>
    </mc:Choice>
  </mc:AlternateContent>
  <bookViews>
    <workbookView xWindow="0" yWindow="0" windowWidth="17256" windowHeight="5688" firstSheet="1" activeTab="12"/>
  </bookViews>
  <sheets>
    <sheet name="DataSheet1" sheetId="2" r:id="rId1"/>
    <sheet name="JAN" sheetId="1" r:id="rId2"/>
    <sheet name="FEB" sheetId="4" r:id="rId3"/>
    <sheet name="MAR" sheetId="5" r:id="rId4"/>
    <sheet name="APR" sheetId="6" r:id="rId5"/>
    <sheet name="MAY" sheetId="7" r:id="rId6"/>
    <sheet name="JUN" sheetId="8" r:id="rId7"/>
    <sheet name="JUL" sheetId="9" r:id="rId8"/>
    <sheet name="AUG" sheetId="10" r:id="rId9"/>
    <sheet name="SEP" sheetId="11" r:id="rId10"/>
    <sheet name="OCT" sheetId="12" r:id="rId11"/>
    <sheet name="NOV" sheetId="13" r:id="rId12"/>
    <sheet name="DEC" sheetId="14" r:id="rId13"/>
    <sheet name="Sheet1" sheetId="15" r:id="rId1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6" i="14" l="1"/>
  <c r="J5" i="14" s="1"/>
  <c r="O4" i="14"/>
  <c r="K4" i="14"/>
  <c r="N4" i="14" s="1"/>
  <c r="J6" i="13"/>
  <c r="O4" i="13"/>
  <c r="K4" i="13"/>
  <c r="N4" i="13" s="1"/>
  <c r="AW18" i="13" s="1"/>
  <c r="J6" i="12"/>
  <c r="O4" i="12"/>
  <c r="AR10" i="12" s="1"/>
  <c r="K4" i="12"/>
  <c r="N4" i="12" s="1"/>
  <c r="J6" i="11"/>
  <c r="O4" i="11"/>
  <c r="AQ9" i="11" s="1"/>
  <c r="K4" i="11"/>
  <c r="N4" i="11" s="1"/>
  <c r="J6" i="10"/>
  <c r="O4" i="10"/>
  <c r="K4" i="10"/>
  <c r="N4" i="10" s="1"/>
  <c r="J6" i="9"/>
  <c r="J5" i="9" s="1"/>
  <c r="O4" i="9"/>
  <c r="AR23" i="9" s="1"/>
  <c r="K4" i="9"/>
  <c r="J6" i="8"/>
  <c r="J5" i="8" s="1"/>
  <c r="O4" i="8"/>
  <c r="K4" i="8"/>
  <c r="K6" i="8" s="1"/>
  <c r="J6" i="7"/>
  <c r="O4" i="7"/>
  <c r="AR9" i="7" s="1"/>
  <c r="K4" i="7"/>
  <c r="N4" i="7" s="1"/>
  <c r="J6" i="6"/>
  <c r="J5" i="6" s="1"/>
  <c r="O4" i="6"/>
  <c r="K4" i="6"/>
  <c r="N4" i="6" s="1"/>
  <c r="J6" i="5"/>
  <c r="O4" i="5"/>
  <c r="K4" i="5"/>
  <c r="N4" i="5" s="1"/>
  <c r="J6" i="4"/>
  <c r="J5" i="4" s="1"/>
  <c r="O4" i="4"/>
  <c r="K4" i="4"/>
  <c r="N4" i="4" s="1"/>
  <c r="N4" i="8" l="1"/>
  <c r="AW25" i="8" s="1"/>
  <c r="AW17" i="13"/>
  <c r="AW15" i="13"/>
  <c r="AZ15" i="13" s="1"/>
  <c r="AW13" i="13"/>
  <c r="AW11" i="13"/>
  <c r="AZ11" i="13" s="1"/>
  <c r="AW9" i="13"/>
  <c r="AZ9" i="13" s="1"/>
  <c r="AW16" i="13"/>
  <c r="AZ16" i="13" s="1"/>
  <c r="AW14" i="13"/>
  <c r="AW12" i="13"/>
  <c r="AW10" i="13"/>
  <c r="AW8" i="13"/>
  <c r="AZ8" i="13" s="1"/>
  <c r="AQ8" i="13"/>
  <c r="AQ9" i="13"/>
  <c r="AQ10" i="13"/>
  <c r="AQ11" i="13"/>
  <c r="AQ12" i="13"/>
  <c r="AQ13" i="13"/>
  <c r="AQ14" i="13"/>
  <c r="AQ15" i="13"/>
  <c r="AQ16" i="13"/>
  <c r="AQ17" i="13"/>
  <c r="AQ18" i="13"/>
  <c r="AQ19" i="13"/>
  <c r="AQ26" i="13"/>
  <c r="AQ25" i="13"/>
  <c r="AQ24" i="13"/>
  <c r="AQ23" i="13"/>
  <c r="AQ22" i="13"/>
  <c r="AQ21" i="13"/>
  <c r="AQ20" i="13"/>
  <c r="AZ18" i="13"/>
  <c r="AQ7" i="13"/>
  <c r="AW7" i="13"/>
  <c r="AW26" i="13"/>
  <c r="AW25" i="13"/>
  <c r="AW24" i="13"/>
  <c r="AW23" i="13"/>
  <c r="AW22" i="13"/>
  <c r="AW21" i="13"/>
  <c r="AW20" i="13"/>
  <c r="AW19" i="13"/>
  <c r="AZ17" i="13"/>
  <c r="AZ14" i="13"/>
  <c r="AZ13" i="13"/>
  <c r="AZ12" i="13"/>
  <c r="AZ10" i="13"/>
  <c r="K6" i="4"/>
  <c r="K6" i="5"/>
  <c r="K6" i="14"/>
  <c r="L6" i="14" s="1"/>
  <c r="K6" i="13"/>
  <c r="L6" i="13" s="1"/>
  <c r="J5" i="13"/>
  <c r="K6" i="12"/>
  <c r="K5" i="12" s="1"/>
  <c r="K6" i="11"/>
  <c r="L6" i="11" s="1"/>
  <c r="K6" i="10"/>
  <c r="K6" i="9"/>
  <c r="AR8" i="9"/>
  <c r="N4" i="9"/>
  <c r="AX14" i="9" s="1"/>
  <c r="AR7" i="9"/>
  <c r="AR9" i="9"/>
  <c r="K6" i="7"/>
  <c r="AX20" i="7"/>
  <c r="AX16" i="7"/>
  <c r="AX14" i="7"/>
  <c r="AX12" i="7"/>
  <c r="AX10" i="7"/>
  <c r="J5" i="7"/>
  <c r="AR8" i="7"/>
  <c r="AR23" i="7"/>
  <c r="AR7" i="7"/>
  <c r="AX26" i="14"/>
  <c r="AX25" i="14"/>
  <c r="AX24" i="14"/>
  <c r="AX23" i="14"/>
  <c r="AX22" i="14"/>
  <c r="AX21" i="14"/>
  <c r="AX20" i="14"/>
  <c r="AX19" i="14"/>
  <c r="AX18" i="14"/>
  <c r="AX17" i="14"/>
  <c r="AX16" i="14"/>
  <c r="AX15" i="14"/>
  <c r="AX14" i="14"/>
  <c r="AX13" i="14"/>
  <c r="AX12" i="14"/>
  <c r="AX11" i="14"/>
  <c r="AX10" i="14"/>
  <c r="AX9" i="14"/>
  <c r="AX8" i="14"/>
  <c r="AX7" i="14"/>
  <c r="K5" i="14"/>
  <c r="AR26" i="14"/>
  <c r="AR25" i="14"/>
  <c r="AR24" i="14"/>
  <c r="AR23" i="14"/>
  <c r="AR22" i="14"/>
  <c r="AR21" i="14"/>
  <c r="AR20" i="14"/>
  <c r="AR19" i="14"/>
  <c r="AR18" i="14"/>
  <c r="AR17" i="14"/>
  <c r="AR16" i="14"/>
  <c r="AR15" i="14"/>
  <c r="AR14" i="14"/>
  <c r="AR13" i="14"/>
  <c r="AR12" i="14"/>
  <c r="AR10" i="14"/>
  <c r="AR7" i="14"/>
  <c r="AR8" i="14"/>
  <c r="AR9" i="14"/>
  <c r="AR11" i="14"/>
  <c r="AX26" i="12"/>
  <c r="AX25" i="12"/>
  <c r="AX24" i="12"/>
  <c r="AX23" i="12"/>
  <c r="AX22" i="12"/>
  <c r="AX21" i="12"/>
  <c r="AX20" i="12"/>
  <c r="AX19" i="12"/>
  <c r="AX18" i="12"/>
  <c r="AX17" i="12"/>
  <c r="AX16" i="12"/>
  <c r="AX15" i="12"/>
  <c r="AX14" i="12"/>
  <c r="AX13" i="12"/>
  <c r="AX12" i="12"/>
  <c r="AX11" i="12"/>
  <c r="AX10" i="12"/>
  <c r="AX9" i="12"/>
  <c r="AX8" i="12"/>
  <c r="AX7" i="12"/>
  <c r="L6" i="12"/>
  <c r="J5" i="12"/>
  <c r="AR7" i="12"/>
  <c r="AR8" i="12"/>
  <c r="AR9" i="12"/>
  <c r="AR26" i="12"/>
  <c r="AR25" i="12"/>
  <c r="AR24" i="12"/>
  <c r="AR23" i="12"/>
  <c r="AR22" i="12"/>
  <c r="AR21" i="12"/>
  <c r="AR20" i="12"/>
  <c r="AR19" i="12"/>
  <c r="AR18" i="12"/>
  <c r="AR17" i="12"/>
  <c r="AR16" i="12"/>
  <c r="AR15" i="12"/>
  <c r="AR14" i="12"/>
  <c r="AR13" i="12"/>
  <c r="AR12" i="12"/>
  <c r="AR11" i="12"/>
  <c r="AW26" i="11"/>
  <c r="AW25" i="11"/>
  <c r="AW24" i="11"/>
  <c r="AW23" i="11"/>
  <c r="AW22" i="11"/>
  <c r="AW21" i="11"/>
  <c r="AW20" i="11"/>
  <c r="AW19" i="11"/>
  <c r="AW18" i="11"/>
  <c r="AW17" i="11"/>
  <c r="AW16" i="11"/>
  <c r="AW15" i="11"/>
  <c r="AW14" i="11"/>
  <c r="AW13" i="11"/>
  <c r="AW12" i="11"/>
  <c r="AW11" i="11"/>
  <c r="AW9" i="11"/>
  <c r="AW8" i="11"/>
  <c r="AW7" i="11"/>
  <c r="AW10" i="11"/>
  <c r="J5" i="11"/>
  <c r="AQ7" i="11"/>
  <c r="AQ8" i="11"/>
  <c r="AQ26" i="11"/>
  <c r="AQ25" i="11"/>
  <c r="AQ24" i="11"/>
  <c r="AQ23" i="11"/>
  <c r="AQ22" i="11"/>
  <c r="AQ21" i="11"/>
  <c r="AQ20" i="11"/>
  <c r="AQ19" i="11"/>
  <c r="AQ18" i="11"/>
  <c r="AQ17" i="11"/>
  <c r="AQ16" i="11"/>
  <c r="AQ15" i="11"/>
  <c r="AQ14" i="11"/>
  <c r="AQ13" i="11"/>
  <c r="AQ12" i="11"/>
  <c r="AQ11" i="11"/>
  <c r="AQ10" i="11"/>
  <c r="AX26" i="10"/>
  <c r="AX25" i="10"/>
  <c r="AX24" i="10"/>
  <c r="AX23" i="10"/>
  <c r="AX22" i="10"/>
  <c r="AX21" i="10"/>
  <c r="AX20" i="10"/>
  <c r="AX19" i="10"/>
  <c r="AX18" i="10"/>
  <c r="AX17" i="10"/>
  <c r="AX16" i="10"/>
  <c r="AX15" i="10"/>
  <c r="AX14" i="10"/>
  <c r="AX13" i="10"/>
  <c r="AX12" i="10"/>
  <c r="AX9" i="10"/>
  <c r="AX8" i="10"/>
  <c r="AX7" i="10"/>
  <c r="AX11" i="10"/>
  <c r="AX10" i="10"/>
  <c r="L6" i="10"/>
  <c r="K5" i="10"/>
  <c r="AR26" i="10"/>
  <c r="AR25" i="10"/>
  <c r="AR24" i="10"/>
  <c r="AR23" i="10"/>
  <c r="AR22" i="10"/>
  <c r="AR21" i="10"/>
  <c r="AR20" i="10"/>
  <c r="AR19" i="10"/>
  <c r="AR18" i="10"/>
  <c r="AR17" i="10"/>
  <c r="AR16" i="10"/>
  <c r="AR15" i="10"/>
  <c r="AR14" i="10"/>
  <c r="AR13" i="10"/>
  <c r="AR12" i="10"/>
  <c r="AR11" i="10"/>
  <c r="J5" i="10"/>
  <c r="AR7" i="10"/>
  <c r="AR8" i="10"/>
  <c r="AR9" i="10"/>
  <c r="AR10" i="10"/>
  <c r="AX19" i="9"/>
  <c r="AX18" i="9"/>
  <c r="AX22" i="9"/>
  <c r="AX20" i="9"/>
  <c r="AX16" i="9"/>
  <c r="L6" i="9"/>
  <c r="K5" i="9"/>
  <c r="AR26" i="9"/>
  <c r="AR24" i="9"/>
  <c r="AR22" i="9"/>
  <c r="AR21" i="9"/>
  <c r="AR20" i="9"/>
  <c r="AR19" i="9"/>
  <c r="AR18" i="9"/>
  <c r="AR17" i="9"/>
  <c r="AR10" i="9"/>
  <c r="AR11" i="9"/>
  <c r="AR12" i="9"/>
  <c r="AR13" i="9"/>
  <c r="AR14" i="9"/>
  <c r="AR15" i="9"/>
  <c r="AR16" i="9"/>
  <c r="AR25" i="9"/>
  <c r="L6" i="8"/>
  <c r="K5" i="8"/>
  <c r="AQ26" i="8"/>
  <c r="AQ25" i="8"/>
  <c r="AQ24" i="8"/>
  <c r="AQ23" i="8"/>
  <c r="AQ22" i="8"/>
  <c r="AQ21" i="8"/>
  <c r="AQ20" i="8"/>
  <c r="AQ19" i="8"/>
  <c r="AQ18" i="8"/>
  <c r="AQ17" i="8"/>
  <c r="AQ16" i="8"/>
  <c r="AQ15" i="8"/>
  <c r="AQ14" i="8"/>
  <c r="AQ13" i="8"/>
  <c r="AQ12" i="8"/>
  <c r="AQ11" i="8"/>
  <c r="J7" i="8"/>
  <c r="J8" i="8"/>
  <c r="J9" i="8"/>
  <c r="J10" i="8"/>
  <c r="AQ10" i="8"/>
  <c r="J26" i="8"/>
  <c r="J25" i="8"/>
  <c r="J23" i="8"/>
  <c r="J22" i="8"/>
  <c r="J21" i="8"/>
  <c r="J20" i="8"/>
  <c r="J24" i="8"/>
  <c r="J18" i="8"/>
  <c r="J17" i="8"/>
  <c r="J16" i="8"/>
  <c r="J15" i="8"/>
  <c r="J14" i="8"/>
  <c r="J13" i="8"/>
  <c r="J19" i="8"/>
  <c r="AQ7" i="8"/>
  <c r="AQ8" i="8"/>
  <c r="AQ9" i="8"/>
  <c r="J11" i="8"/>
  <c r="J12" i="8"/>
  <c r="L6" i="7"/>
  <c r="K5" i="7"/>
  <c r="BA16" i="7"/>
  <c r="BA20" i="7"/>
  <c r="AX26" i="7"/>
  <c r="AX25" i="7"/>
  <c r="AX24" i="7"/>
  <c r="AX23" i="7"/>
  <c r="AX21" i="7"/>
  <c r="AX19" i="7"/>
  <c r="AX17" i="7"/>
  <c r="AX9" i="7"/>
  <c r="AX8" i="7"/>
  <c r="AX7" i="7"/>
  <c r="BA10" i="7"/>
  <c r="AX11" i="7"/>
  <c r="BA12" i="7"/>
  <c r="AX13" i="7"/>
  <c r="BA14" i="7"/>
  <c r="AX15" i="7"/>
  <c r="AX18" i="7"/>
  <c r="AX22" i="7"/>
  <c r="AR26" i="7"/>
  <c r="AR24" i="7"/>
  <c r="AR22" i="7"/>
  <c r="AR21" i="7"/>
  <c r="AR20" i="7"/>
  <c r="AR19" i="7"/>
  <c r="AR18" i="7"/>
  <c r="AR17" i="7"/>
  <c r="AR10" i="7"/>
  <c r="AR11" i="7"/>
  <c r="AR12" i="7"/>
  <c r="AR13" i="7"/>
  <c r="AR14" i="7"/>
  <c r="AR15" i="7"/>
  <c r="AR16" i="7"/>
  <c r="AR25" i="7"/>
  <c r="AW26" i="6"/>
  <c r="AW25" i="6"/>
  <c r="AW24" i="6"/>
  <c r="AW23" i="6"/>
  <c r="AW22" i="6"/>
  <c r="AW21" i="6"/>
  <c r="AW20" i="6"/>
  <c r="AW19" i="6"/>
  <c r="AW18" i="6"/>
  <c r="AW17" i="6"/>
  <c r="AW16" i="6"/>
  <c r="AW15" i="6"/>
  <c r="AW14" i="6"/>
  <c r="AW12" i="6"/>
  <c r="AW11" i="6"/>
  <c r="AW10" i="6"/>
  <c r="AW9" i="6"/>
  <c r="AW7" i="6"/>
  <c r="AW13" i="6"/>
  <c r="AW8" i="6"/>
  <c r="AQ26" i="6"/>
  <c r="AQ25" i="6"/>
  <c r="AQ24" i="6"/>
  <c r="AQ23" i="6"/>
  <c r="AQ22" i="6"/>
  <c r="AQ20" i="6"/>
  <c r="AQ21" i="6"/>
  <c r="AQ19" i="6"/>
  <c r="AQ18" i="6"/>
  <c r="AQ17" i="6"/>
  <c r="AQ16" i="6"/>
  <c r="AQ15" i="6"/>
  <c r="AQ14" i="6"/>
  <c r="AQ13" i="6"/>
  <c r="AQ9" i="6"/>
  <c r="AQ8" i="6"/>
  <c r="AQ7" i="6"/>
  <c r="AQ11" i="6"/>
  <c r="K6" i="6"/>
  <c r="AQ10" i="6"/>
  <c r="AQ12" i="6"/>
  <c r="AX26" i="5"/>
  <c r="AX25" i="5"/>
  <c r="AX24" i="5"/>
  <c r="AX23" i="5"/>
  <c r="AX22" i="5"/>
  <c r="AX21" i="5"/>
  <c r="AX20" i="5"/>
  <c r="AX19" i="5"/>
  <c r="AX18" i="5"/>
  <c r="AX17" i="5"/>
  <c r="AX16" i="5"/>
  <c r="AX15" i="5"/>
  <c r="AX14" i="5"/>
  <c r="AX13" i="5"/>
  <c r="AX12" i="5"/>
  <c r="AX9" i="5"/>
  <c r="AX8" i="5"/>
  <c r="AX7" i="5"/>
  <c r="AX11" i="5"/>
  <c r="AX10" i="5"/>
  <c r="L6" i="5"/>
  <c r="K5" i="5"/>
  <c r="AR26" i="5"/>
  <c r="AR25" i="5"/>
  <c r="AR24" i="5"/>
  <c r="AR23" i="5"/>
  <c r="AR22" i="5"/>
  <c r="AR21" i="5"/>
  <c r="AR20" i="5"/>
  <c r="AR19" i="5"/>
  <c r="AR18" i="5"/>
  <c r="AR17" i="5"/>
  <c r="AR16" i="5"/>
  <c r="AR15" i="5"/>
  <c r="AR14" i="5"/>
  <c r="AR13" i="5"/>
  <c r="AR12" i="5"/>
  <c r="AR11" i="5"/>
  <c r="J5" i="5"/>
  <c r="AR7" i="5"/>
  <c r="AR8" i="5"/>
  <c r="AR9" i="5"/>
  <c r="AR10" i="5"/>
  <c r="AX26" i="4"/>
  <c r="AX25" i="4"/>
  <c r="AX24" i="4"/>
  <c r="AX23" i="4"/>
  <c r="AX22" i="4"/>
  <c r="AX21" i="4"/>
  <c r="AX20" i="4"/>
  <c r="AX19" i="4"/>
  <c r="AX18" i="4"/>
  <c r="AX17" i="4"/>
  <c r="AX16" i="4"/>
  <c r="AX15" i="4"/>
  <c r="AX14" i="4"/>
  <c r="AX13" i="4"/>
  <c r="AX12" i="4"/>
  <c r="AX11" i="4"/>
  <c r="AX10" i="4"/>
  <c r="AX9" i="4"/>
  <c r="AX8" i="4"/>
  <c r="AX7" i="4"/>
  <c r="L6" i="4"/>
  <c r="K5" i="4"/>
  <c r="AR26" i="4"/>
  <c r="AR25" i="4"/>
  <c r="AR24" i="4"/>
  <c r="AR23" i="4"/>
  <c r="AR22" i="4"/>
  <c r="AR21" i="4"/>
  <c r="AR20" i="4"/>
  <c r="AR19" i="4"/>
  <c r="AR18" i="4"/>
  <c r="AR17" i="4"/>
  <c r="AR16" i="4"/>
  <c r="AR15" i="4"/>
  <c r="AR14" i="4"/>
  <c r="AR13" i="4"/>
  <c r="AR12" i="4"/>
  <c r="AR11" i="4"/>
  <c r="AR10" i="4"/>
  <c r="AR7" i="4"/>
  <c r="AR8" i="4"/>
  <c r="AR9" i="4"/>
  <c r="O4" i="1"/>
  <c r="AR8" i="1" s="1"/>
  <c r="AX8" i="9" l="1"/>
  <c r="BA8" i="9" s="1"/>
  <c r="AX9" i="9"/>
  <c r="BA9" i="9" s="1"/>
  <c r="AX7" i="9"/>
  <c r="AX17" i="9"/>
  <c r="BA17" i="9" s="1"/>
  <c r="AX21" i="9"/>
  <c r="AX11" i="9"/>
  <c r="BA11" i="9" s="1"/>
  <c r="AX23" i="9"/>
  <c r="AX13" i="9"/>
  <c r="BA13" i="9" s="1"/>
  <c r="AX24" i="9"/>
  <c r="AX15" i="9"/>
  <c r="BA15" i="9" s="1"/>
  <c r="AX25" i="9"/>
  <c r="BA25" i="9" s="1"/>
  <c r="AX10" i="9"/>
  <c r="AX26" i="9"/>
  <c r="K5" i="11"/>
  <c r="K5" i="13"/>
  <c r="K20" i="13" s="1"/>
  <c r="AX12" i="9"/>
  <c r="AW10" i="8"/>
  <c r="AZ10" i="8" s="1"/>
  <c r="AW11" i="8"/>
  <c r="AW14" i="8"/>
  <c r="AW16" i="8"/>
  <c r="AW18" i="8"/>
  <c r="AW20" i="8"/>
  <c r="AW22" i="8"/>
  <c r="AW24" i="8"/>
  <c r="AW26" i="8"/>
  <c r="AW12" i="8"/>
  <c r="AW9" i="8"/>
  <c r="AW8" i="8"/>
  <c r="AW7" i="8"/>
  <c r="AW13" i="8"/>
  <c r="AW15" i="8"/>
  <c r="AW17" i="8"/>
  <c r="AW19" i="8"/>
  <c r="AW21" i="8"/>
  <c r="AZ21" i="8" s="1"/>
  <c r="AW23" i="8"/>
  <c r="AZ23" i="8" s="1"/>
  <c r="AZ20" i="13"/>
  <c r="AZ22" i="13"/>
  <c r="AZ24" i="13"/>
  <c r="AZ26" i="13"/>
  <c r="K12" i="13"/>
  <c r="K13" i="13"/>
  <c r="K14" i="13"/>
  <c r="K15" i="13"/>
  <c r="K16" i="13"/>
  <c r="K17" i="13"/>
  <c r="K18" i="13"/>
  <c r="K19" i="13"/>
  <c r="AZ19" i="13"/>
  <c r="AZ21" i="13"/>
  <c r="AZ23" i="13"/>
  <c r="AZ25" i="13"/>
  <c r="AZ7" i="13"/>
  <c r="M6" i="14"/>
  <c r="L5" i="14"/>
  <c r="BA8" i="14"/>
  <c r="BA10" i="14"/>
  <c r="BA12" i="14"/>
  <c r="BA14" i="14"/>
  <c r="BA16" i="14"/>
  <c r="BA18" i="14"/>
  <c r="BA20" i="14"/>
  <c r="BA22" i="14"/>
  <c r="BA24" i="14"/>
  <c r="BA26" i="14"/>
  <c r="BA7" i="14"/>
  <c r="BA9" i="14"/>
  <c r="BA11" i="14"/>
  <c r="BA13" i="14"/>
  <c r="BA15" i="14"/>
  <c r="BA17" i="14"/>
  <c r="BA19" i="14"/>
  <c r="BA21" i="14"/>
  <c r="BA23" i="14"/>
  <c r="BA25" i="14"/>
  <c r="M6" i="13"/>
  <c r="L5" i="13"/>
  <c r="BA7" i="12"/>
  <c r="BA9" i="12"/>
  <c r="BA11" i="12"/>
  <c r="BA13" i="12"/>
  <c r="BA15" i="12"/>
  <c r="BA17" i="12"/>
  <c r="BA19" i="12"/>
  <c r="BA21" i="12"/>
  <c r="BA23" i="12"/>
  <c r="BA25" i="12"/>
  <c r="M6" i="12"/>
  <c r="L5" i="12"/>
  <c r="BA8" i="12"/>
  <c r="BA10" i="12"/>
  <c r="BA12" i="12"/>
  <c r="BA14" i="12"/>
  <c r="BA16" i="12"/>
  <c r="BA18" i="12"/>
  <c r="BA20" i="12"/>
  <c r="BA22" i="12"/>
  <c r="BA24" i="12"/>
  <c r="BA26" i="12"/>
  <c r="AZ10" i="11"/>
  <c r="AZ8" i="11"/>
  <c r="AZ11" i="11"/>
  <c r="AZ13" i="11"/>
  <c r="AZ15" i="11"/>
  <c r="AZ17" i="11"/>
  <c r="AZ19" i="11"/>
  <c r="AZ21" i="11"/>
  <c r="AZ23" i="11"/>
  <c r="AZ25" i="11"/>
  <c r="M6" i="11"/>
  <c r="L5" i="11"/>
  <c r="AZ7" i="11"/>
  <c r="AZ9" i="11"/>
  <c r="AZ12" i="11"/>
  <c r="AZ14" i="11"/>
  <c r="AZ16" i="11"/>
  <c r="AZ18" i="11"/>
  <c r="AZ20" i="11"/>
  <c r="AZ22" i="11"/>
  <c r="AZ24" i="11"/>
  <c r="AZ26" i="11"/>
  <c r="BA10" i="10"/>
  <c r="BA7" i="10"/>
  <c r="BA9" i="10"/>
  <c r="BA13" i="10"/>
  <c r="BA15" i="10"/>
  <c r="BA17" i="10"/>
  <c r="BA19" i="10"/>
  <c r="BA21" i="10"/>
  <c r="BA23" i="10"/>
  <c r="BA25" i="10"/>
  <c r="M6" i="10"/>
  <c r="L5" i="10"/>
  <c r="BA11" i="10"/>
  <c r="BA8" i="10"/>
  <c r="BA12" i="10"/>
  <c r="BA14" i="10"/>
  <c r="BA16" i="10"/>
  <c r="BA18" i="10"/>
  <c r="BA20" i="10"/>
  <c r="BA22" i="10"/>
  <c r="BA24" i="10"/>
  <c r="BA26" i="10"/>
  <c r="BA12" i="9"/>
  <c r="BA16" i="9"/>
  <c r="BA22" i="9"/>
  <c r="BA7" i="9"/>
  <c r="BA19" i="9"/>
  <c r="BA23" i="9"/>
  <c r="L5" i="9"/>
  <c r="M6" i="9"/>
  <c r="BA10" i="9"/>
  <c r="BA14" i="9"/>
  <c r="BA20" i="9"/>
  <c r="BA18" i="9"/>
  <c r="BA21" i="9"/>
  <c r="BA24" i="9"/>
  <c r="BA26" i="9"/>
  <c r="AZ12" i="8"/>
  <c r="AZ11" i="8"/>
  <c r="AZ14" i="8"/>
  <c r="AZ16" i="8"/>
  <c r="AZ18" i="8"/>
  <c r="AZ20" i="8"/>
  <c r="AZ22" i="8"/>
  <c r="AZ24" i="8"/>
  <c r="AZ26" i="8"/>
  <c r="M6" i="8"/>
  <c r="L5" i="8"/>
  <c r="AZ9" i="8"/>
  <c r="AZ8" i="8"/>
  <c r="AZ7" i="8"/>
  <c r="AZ13" i="8"/>
  <c r="AZ15" i="8"/>
  <c r="AZ17" i="8"/>
  <c r="AZ19" i="8"/>
  <c r="AZ25" i="8"/>
  <c r="BA11" i="7"/>
  <c r="BA8" i="7"/>
  <c r="BA17" i="7"/>
  <c r="BA21" i="7"/>
  <c r="BA24" i="7"/>
  <c r="BA26" i="7"/>
  <c r="BA22" i="7"/>
  <c r="BA18" i="7"/>
  <c r="BA15" i="7"/>
  <c r="BA13" i="7"/>
  <c r="BA7" i="7"/>
  <c r="BA9" i="7"/>
  <c r="BA19" i="7"/>
  <c r="BA23" i="7"/>
  <c r="BA25" i="7"/>
  <c r="M6" i="7"/>
  <c r="L5" i="7"/>
  <c r="AZ8" i="6"/>
  <c r="AZ7" i="6"/>
  <c r="AZ10" i="6"/>
  <c r="AZ12" i="6"/>
  <c r="AZ15" i="6"/>
  <c r="AZ17" i="6"/>
  <c r="AZ19" i="6"/>
  <c r="AZ21" i="6"/>
  <c r="AZ23" i="6"/>
  <c r="AZ25" i="6"/>
  <c r="L6" i="6"/>
  <c r="K5" i="6"/>
  <c r="AZ13" i="6"/>
  <c r="AZ9" i="6"/>
  <c r="AZ11" i="6"/>
  <c r="AZ14" i="6"/>
  <c r="AZ16" i="6"/>
  <c r="AZ18" i="6"/>
  <c r="AZ20" i="6"/>
  <c r="AZ22" i="6"/>
  <c r="AZ24" i="6"/>
  <c r="AZ26" i="6"/>
  <c r="K26" i="5"/>
  <c r="K25" i="5"/>
  <c r="K24" i="5"/>
  <c r="K23" i="5"/>
  <c r="K22" i="5"/>
  <c r="K21" i="5"/>
  <c r="K20" i="5"/>
  <c r="K19" i="5"/>
  <c r="K18" i="5"/>
  <c r="K17" i="5"/>
  <c r="K16" i="5"/>
  <c r="K15" i="5"/>
  <c r="K14" i="5"/>
  <c r="K13" i="5"/>
  <c r="K12" i="5"/>
  <c r="K11" i="5"/>
  <c r="K10" i="5"/>
  <c r="K9" i="5"/>
  <c r="K8" i="5"/>
  <c r="K7" i="5"/>
  <c r="BA10" i="5"/>
  <c r="BA7" i="5"/>
  <c r="BA9" i="5"/>
  <c r="BA13" i="5"/>
  <c r="BA15" i="5"/>
  <c r="BA17" i="5"/>
  <c r="BA19" i="5"/>
  <c r="BA21" i="5"/>
  <c r="BA23" i="5"/>
  <c r="BA25" i="5"/>
  <c r="M6" i="5"/>
  <c r="L5" i="5"/>
  <c r="BA11" i="5"/>
  <c r="BA8" i="5"/>
  <c r="BA12" i="5"/>
  <c r="BA14" i="5"/>
  <c r="BA16" i="5"/>
  <c r="BA18" i="5"/>
  <c r="BA20" i="5"/>
  <c r="BA22" i="5"/>
  <c r="BA24" i="5"/>
  <c r="BA26" i="5"/>
  <c r="M6" i="4"/>
  <c r="L5" i="4"/>
  <c r="BA8" i="4"/>
  <c r="BA10" i="4"/>
  <c r="BA12" i="4"/>
  <c r="BA14" i="4"/>
  <c r="BA16" i="4"/>
  <c r="BA18" i="4"/>
  <c r="BA20" i="4"/>
  <c r="BA22" i="4"/>
  <c r="BA24" i="4"/>
  <c r="BA26" i="4"/>
  <c r="K26" i="4"/>
  <c r="K25" i="4"/>
  <c r="K24" i="4"/>
  <c r="K23" i="4"/>
  <c r="K22" i="4"/>
  <c r="K21" i="4"/>
  <c r="K20" i="4"/>
  <c r="K19" i="4"/>
  <c r="K18" i="4"/>
  <c r="K17" i="4"/>
  <c r="K16" i="4"/>
  <c r="K15" i="4"/>
  <c r="K14" i="4"/>
  <c r="K13" i="4"/>
  <c r="K12" i="4"/>
  <c r="K11" i="4"/>
  <c r="K10" i="4"/>
  <c r="K9" i="4"/>
  <c r="K8" i="4"/>
  <c r="K7" i="4"/>
  <c r="BA7" i="4"/>
  <c r="BA9" i="4"/>
  <c r="BA11" i="4"/>
  <c r="BA13" i="4"/>
  <c r="BA15" i="4"/>
  <c r="BA17" i="4"/>
  <c r="BA19" i="4"/>
  <c r="BA21" i="4"/>
  <c r="BA23" i="4"/>
  <c r="BA25" i="4"/>
  <c r="AR25" i="1"/>
  <c r="AR21" i="1"/>
  <c r="AR17" i="1"/>
  <c r="AR13" i="1"/>
  <c r="AR7" i="1"/>
  <c r="AR23" i="1"/>
  <c r="AR19" i="1"/>
  <c r="AR15" i="1"/>
  <c r="AR11" i="1"/>
  <c r="AR9" i="1"/>
  <c r="AR26" i="1"/>
  <c r="AR24" i="1"/>
  <c r="AR22" i="1"/>
  <c r="AR20" i="1"/>
  <c r="AR18" i="1"/>
  <c r="AR16" i="1"/>
  <c r="AR14" i="1"/>
  <c r="AR12" i="1"/>
  <c r="AR10" i="1"/>
  <c r="K4" i="1"/>
  <c r="J6" i="1"/>
  <c r="K11" i="13" l="1"/>
  <c r="K26" i="13"/>
  <c r="K10" i="13"/>
  <c r="K9" i="13"/>
  <c r="K24" i="13"/>
  <c r="K23" i="13"/>
  <c r="K22" i="13"/>
  <c r="K25" i="13"/>
  <c r="K7" i="13"/>
  <c r="K8" i="13"/>
  <c r="K21" i="13"/>
  <c r="N6" i="14"/>
  <c r="M5" i="14"/>
  <c r="N6" i="13"/>
  <c r="M5" i="13"/>
  <c r="N6" i="12"/>
  <c r="M5" i="12"/>
  <c r="N6" i="11"/>
  <c r="M5" i="11"/>
  <c r="L26" i="10"/>
  <c r="L25" i="10"/>
  <c r="L24" i="10"/>
  <c r="L22" i="10"/>
  <c r="L21" i="10"/>
  <c r="L20" i="10"/>
  <c r="L23" i="10"/>
  <c r="L19" i="10"/>
  <c r="L18" i="10"/>
  <c r="L17" i="10"/>
  <c r="L16" i="10"/>
  <c r="L15" i="10"/>
  <c r="L14" i="10"/>
  <c r="L13" i="10"/>
  <c r="L10" i="10"/>
  <c r="L9" i="10"/>
  <c r="L8" i="10"/>
  <c r="L7" i="10"/>
  <c r="L12" i="10"/>
  <c r="L11" i="10"/>
  <c r="N6" i="10"/>
  <c r="M5" i="10"/>
  <c r="N6" i="9"/>
  <c r="M5" i="9"/>
  <c r="N6" i="8"/>
  <c r="M5" i="8"/>
  <c r="N6" i="7"/>
  <c r="M5" i="7"/>
  <c r="M6" i="6"/>
  <c r="L5" i="6"/>
  <c r="N6" i="5"/>
  <c r="M5" i="5"/>
  <c r="N6" i="4"/>
  <c r="M5" i="4"/>
  <c r="K6" i="1"/>
  <c r="L6" i="1" s="1"/>
  <c r="M6" i="1" s="1"/>
  <c r="N6" i="1" s="1"/>
  <c r="O6" i="1" s="1"/>
  <c r="P6" i="1" s="1"/>
  <c r="Q6" i="1" s="1"/>
  <c r="R6" i="1" s="1"/>
  <c r="S6" i="1" s="1"/>
  <c r="T6" i="1" s="1"/>
  <c r="N4" i="1"/>
  <c r="O6" i="14" l="1"/>
  <c r="N5" i="14"/>
  <c r="O6" i="13"/>
  <c r="N5" i="13"/>
  <c r="O6" i="12"/>
  <c r="N5" i="12"/>
  <c r="O6" i="11"/>
  <c r="N5" i="11"/>
  <c r="O6" i="10"/>
  <c r="N5" i="10"/>
  <c r="O6" i="9"/>
  <c r="N5" i="9"/>
  <c r="O6" i="8"/>
  <c r="N5" i="8"/>
  <c r="N5" i="7"/>
  <c r="O6" i="7"/>
  <c r="M26" i="7"/>
  <c r="M24" i="7"/>
  <c r="M22" i="7"/>
  <c r="M21" i="7"/>
  <c r="M20" i="7"/>
  <c r="M19" i="7"/>
  <c r="M18" i="7"/>
  <c r="M17" i="7"/>
  <c r="M23" i="7"/>
  <c r="M16" i="7"/>
  <c r="M15" i="7"/>
  <c r="M14" i="7"/>
  <c r="M13" i="7"/>
  <c r="M12" i="7"/>
  <c r="M11" i="7"/>
  <c r="M25" i="7"/>
  <c r="M9" i="7"/>
  <c r="M7" i="7"/>
  <c r="M10" i="7"/>
  <c r="M8" i="7"/>
  <c r="N6" i="6"/>
  <c r="M5" i="6"/>
  <c r="O6" i="5"/>
  <c r="N5" i="5"/>
  <c r="O6" i="4"/>
  <c r="N5" i="4"/>
  <c r="AX10" i="1"/>
  <c r="BA10" i="1" s="1"/>
  <c r="AX11" i="1"/>
  <c r="BA11" i="1" s="1"/>
  <c r="AX12" i="1"/>
  <c r="BA12" i="1" s="1"/>
  <c r="AX13" i="1"/>
  <c r="BA13" i="1" s="1"/>
  <c r="AX7" i="1"/>
  <c r="BA7" i="1" s="1"/>
  <c r="AX8" i="1"/>
  <c r="BA8" i="1" s="1"/>
  <c r="AX9" i="1"/>
  <c r="BA9" i="1" s="1"/>
  <c r="AX14" i="1"/>
  <c r="BA14" i="1" s="1"/>
  <c r="AX15" i="1"/>
  <c r="BA15" i="1" s="1"/>
  <c r="AX16" i="1"/>
  <c r="BA16" i="1" s="1"/>
  <c r="AX17" i="1"/>
  <c r="BA17" i="1" s="1"/>
  <c r="AX18" i="1"/>
  <c r="BA18" i="1" s="1"/>
  <c r="AX19" i="1"/>
  <c r="BA19" i="1" s="1"/>
  <c r="AX20" i="1"/>
  <c r="BA20" i="1" s="1"/>
  <c r="AX21" i="1"/>
  <c r="BA21" i="1" s="1"/>
  <c r="AX22" i="1"/>
  <c r="BA22" i="1" s="1"/>
  <c r="AX23" i="1"/>
  <c r="BA23" i="1" s="1"/>
  <c r="AX24" i="1"/>
  <c r="BA24" i="1" s="1"/>
  <c r="AX25" i="1"/>
  <c r="BA25" i="1" s="1"/>
  <c r="AX26" i="1"/>
  <c r="BA26" i="1" s="1"/>
  <c r="J5" i="1"/>
  <c r="P6" i="14" l="1"/>
  <c r="O5" i="14"/>
  <c r="P6" i="13"/>
  <c r="O5" i="13"/>
  <c r="P6" i="12"/>
  <c r="O5" i="12"/>
  <c r="N26" i="12"/>
  <c r="N25" i="12"/>
  <c r="N23" i="12"/>
  <c r="N22" i="12"/>
  <c r="N21" i="12"/>
  <c r="N20" i="12"/>
  <c r="N24" i="12"/>
  <c r="N19" i="12"/>
  <c r="N18" i="12"/>
  <c r="N17" i="12"/>
  <c r="N16" i="12"/>
  <c r="N15" i="12"/>
  <c r="N14" i="12"/>
  <c r="N13" i="12"/>
  <c r="N12" i="12"/>
  <c r="N11" i="12"/>
  <c r="N10" i="12"/>
  <c r="N9" i="12"/>
  <c r="N8" i="12"/>
  <c r="N7" i="12"/>
  <c r="P6" i="11"/>
  <c r="O5" i="11"/>
  <c r="P6" i="10"/>
  <c r="O5" i="10"/>
  <c r="P6" i="9"/>
  <c r="O5" i="9"/>
  <c r="O10" i="9" s="1"/>
  <c r="P6" i="8"/>
  <c r="O5" i="8"/>
  <c r="P6" i="7"/>
  <c r="O5" i="7"/>
  <c r="O6" i="6"/>
  <c r="N5" i="6"/>
  <c r="P6" i="5"/>
  <c r="O5" i="5"/>
  <c r="P6" i="4"/>
  <c r="O5" i="4"/>
  <c r="K5" i="1"/>
  <c r="Q6" i="14" l="1"/>
  <c r="P5" i="14"/>
  <c r="Q6" i="13"/>
  <c r="P5" i="13"/>
  <c r="Q6" i="12"/>
  <c r="P5" i="12"/>
  <c r="Q6" i="11"/>
  <c r="P5" i="11"/>
  <c r="Q6" i="10"/>
  <c r="P5" i="10"/>
  <c r="P5" i="9"/>
  <c r="Q6" i="9"/>
  <c r="O25" i="9"/>
  <c r="O23" i="9"/>
  <c r="O22" i="9"/>
  <c r="O21" i="9"/>
  <c r="O20" i="9"/>
  <c r="O19" i="9"/>
  <c r="O18" i="9"/>
  <c r="O17" i="9"/>
  <c r="O26" i="9"/>
  <c r="O16" i="9"/>
  <c r="O15" i="9"/>
  <c r="O14" i="9"/>
  <c r="O13" i="9"/>
  <c r="O12" i="9"/>
  <c r="O11" i="9"/>
  <c r="O24" i="9"/>
  <c r="O9" i="9"/>
  <c r="O7" i="9"/>
  <c r="O8" i="9"/>
  <c r="Q6" i="8"/>
  <c r="P5" i="8"/>
  <c r="Q6" i="7"/>
  <c r="P5" i="7"/>
  <c r="P6" i="6"/>
  <c r="O5" i="6"/>
  <c r="O10" i="6" s="1"/>
  <c r="Q6" i="5"/>
  <c r="P5" i="5"/>
  <c r="Q6" i="4"/>
  <c r="P5" i="4"/>
  <c r="L5" i="1"/>
  <c r="P26" i="14" l="1"/>
  <c r="P25" i="14"/>
  <c r="P24" i="14"/>
  <c r="P22" i="14"/>
  <c r="P21" i="14"/>
  <c r="P20" i="14"/>
  <c r="P23" i="14"/>
  <c r="P19" i="14"/>
  <c r="P18" i="14"/>
  <c r="P17" i="14"/>
  <c r="P16" i="14"/>
  <c r="P15" i="14"/>
  <c r="P14" i="14"/>
  <c r="P13" i="14"/>
  <c r="P12" i="14"/>
  <c r="P11" i="14"/>
  <c r="P10" i="14"/>
  <c r="P9" i="14"/>
  <c r="P8" i="14"/>
  <c r="P7" i="14"/>
  <c r="R6" i="14"/>
  <c r="Q5" i="14"/>
  <c r="R6" i="13"/>
  <c r="Q5" i="13"/>
  <c r="R6" i="12"/>
  <c r="Q5" i="12"/>
  <c r="R6" i="11"/>
  <c r="Q5" i="11"/>
  <c r="P26" i="11"/>
  <c r="P25" i="11"/>
  <c r="P24" i="11"/>
  <c r="P22" i="11"/>
  <c r="P21" i="11"/>
  <c r="P20" i="11"/>
  <c r="P23" i="11"/>
  <c r="P19" i="11"/>
  <c r="P18" i="11"/>
  <c r="P17" i="11"/>
  <c r="P16" i="11"/>
  <c r="P15" i="11"/>
  <c r="P14" i="11"/>
  <c r="P13" i="11"/>
  <c r="P12" i="11"/>
  <c r="P9" i="11"/>
  <c r="P8" i="11"/>
  <c r="P7" i="11"/>
  <c r="P11" i="11"/>
  <c r="P10" i="11"/>
  <c r="R6" i="10"/>
  <c r="Q5" i="10"/>
  <c r="R6" i="9"/>
  <c r="Q5" i="9"/>
  <c r="R6" i="8"/>
  <c r="Q5" i="8"/>
  <c r="R6" i="7"/>
  <c r="Q5" i="7"/>
  <c r="O26" i="6"/>
  <c r="O25" i="6"/>
  <c r="O24" i="6"/>
  <c r="O23" i="6"/>
  <c r="O21" i="6"/>
  <c r="O22" i="6"/>
  <c r="O20" i="6"/>
  <c r="O19" i="6"/>
  <c r="O18" i="6"/>
  <c r="O17" i="6"/>
  <c r="O16" i="6"/>
  <c r="O15" i="6"/>
  <c r="O14" i="6"/>
  <c r="O9" i="6"/>
  <c r="O8" i="6"/>
  <c r="O7" i="6"/>
  <c r="O13" i="6"/>
  <c r="O11" i="6"/>
  <c r="O12" i="6"/>
  <c r="Q6" i="6"/>
  <c r="P5" i="6"/>
  <c r="R6" i="5"/>
  <c r="Q5" i="5"/>
  <c r="R6" i="4"/>
  <c r="Q5" i="4"/>
  <c r="M5" i="1"/>
  <c r="S6" i="14" l="1"/>
  <c r="R5" i="14"/>
  <c r="S6" i="13"/>
  <c r="R5" i="13"/>
  <c r="S6" i="12"/>
  <c r="R5" i="12"/>
  <c r="S6" i="11"/>
  <c r="R5" i="11"/>
  <c r="S6" i="10"/>
  <c r="R5" i="10"/>
  <c r="S6" i="9"/>
  <c r="R5" i="9"/>
  <c r="Q26" i="8"/>
  <c r="Q25" i="8"/>
  <c r="Q24" i="8"/>
  <c r="Q23" i="8"/>
  <c r="Q22" i="8"/>
  <c r="Q21" i="8"/>
  <c r="Q20" i="8"/>
  <c r="Q19" i="8"/>
  <c r="Q18" i="8"/>
  <c r="Q17" i="8"/>
  <c r="Q16" i="8"/>
  <c r="Q15" i="8"/>
  <c r="Q14" i="8"/>
  <c r="Q13" i="8"/>
  <c r="Q12" i="8"/>
  <c r="Q11" i="8"/>
  <c r="Q9" i="8"/>
  <c r="Q8" i="8"/>
  <c r="Q7" i="8"/>
  <c r="Q10" i="8"/>
  <c r="S6" i="8"/>
  <c r="R5" i="8"/>
  <c r="R5" i="7"/>
  <c r="S6" i="7"/>
  <c r="R6" i="6"/>
  <c r="Q5" i="6"/>
  <c r="S6" i="5"/>
  <c r="R5" i="5"/>
  <c r="S6" i="4"/>
  <c r="R5" i="4"/>
  <c r="N5" i="1"/>
  <c r="R8" i="13" l="1"/>
  <c r="R9" i="13"/>
  <c r="R10" i="13"/>
  <c r="R11" i="13"/>
  <c r="R12" i="13"/>
  <c r="R13" i="13"/>
  <c r="R14" i="13"/>
  <c r="R15" i="13"/>
  <c r="R16" i="13"/>
  <c r="R17" i="13"/>
  <c r="R18" i="13"/>
  <c r="R19" i="13"/>
  <c r="R20" i="13"/>
  <c r="R21" i="13"/>
  <c r="R22" i="13"/>
  <c r="R23" i="13"/>
  <c r="R24" i="13"/>
  <c r="R25" i="13"/>
  <c r="R26" i="13"/>
  <c r="T6" i="14"/>
  <c r="S5" i="14"/>
  <c r="T6" i="13"/>
  <c r="S5" i="13"/>
  <c r="R7" i="13"/>
  <c r="T6" i="12"/>
  <c r="S5" i="12"/>
  <c r="T6" i="11"/>
  <c r="S5" i="11"/>
  <c r="T6" i="10"/>
  <c r="S5" i="10"/>
  <c r="T6" i="9"/>
  <c r="S5" i="9"/>
  <c r="T6" i="8"/>
  <c r="S5" i="8"/>
  <c r="T6" i="7"/>
  <c r="S5" i="7"/>
  <c r="S6" i="6"/>
  <c r="R5" i="6"/>
  <c r="R26" i="5"/>
  <c r="R25" i="5"/>
  <c r="R24" i="5"/>
  <c r="R23" i="5"/>
  <c r="R22" i="5"/>
  <c r="R21" i="5"/>
  <c r="R20" i="5"/>
  <c r="R19" i="5"/>
  <c r="R18" i="5"/>
  <c r="R17" i="5"/>
  <c r="R16" i="5"/>
  <c r="R15" i="5"/>
  <c r="R14" i="5"/>
  <c r="R13" i="5"/>
  <c r="R12" i="5"/>
  <c r="R9" i="5"/>
  <c r="R8" i="5"/>
  <c r="R7" i="5"/>
  <c r="R11" i="5"/>
  <c r="R10" i="5"/>
  <c r="T6" i="5"/>
  <c r="S5" i="5"/>
  <c r="R26" i="4"/>
  <c r="R25" i="4"/>
  <c r="R24" i="4"/>
  <c r="R23" i="4"/>
  <c r="R22" i="4"/>
  <c r="R21" i="4"/>
  <c r="R20" i="4"/>
  <c r="R19" i="4"/>
  <c r="R18" i="4"/>
  <c r="R17" i="4"/>
  <c r="R16" i="4"/>
  <c r="R15" i="4"/>
  <c r="R14" i="4"/>
  <c r="R13" i="4"/>
  <c r="R12" i="4"/>
  <c r="R11" i="4"/>
  <c r="R10" i="4"/>
  <c r="R9" i="4"/>
  <c r="R8" i="4"/>
  <c r="R7" i="4"/>
  <c r="T6" i="4"/>
  <c r="S5" i="4"/>
  <c r="N9" i="1"/>
  <c r="N11" i="1"/>
  <c r="N13" i="1"/>
  <c r="N8" i="1"/>
  <c r="N12" i="1"/>
  <c r="N15" i="1"/>
  <c r="N10" i="1"/>
  <c r="N14" i="1"/>
  <c r="N16" i="1"/>
  <c r="N18" i="1"/>
  <c r="N20" i="1"/>
  <c r="N17" i="1"/>
  <c r="N21" i="1"/>
  <c r="N19" i="1"/>
  <c r="N22" i="1"/>
  <c r="N24" i="1"/>
  <c r="N26" i="1"/>
  <c r="N7" i="1"/>
  <c r="N23" i="1"/>
  <c r="N25" i="1"/>
  <c r="O5" i="1"/>
  <c r="U6" i="14" l="1"/>
  <c r="T5" i="14"/>
  <c r="U6" i="13"/>
  <c r="T5" i="13"/>
  <c r="U6" i="12"/>
  <c r="T5" i="12"/>
  <c r="U6" i="11"/>
  <c r="T5" i="11"/>
  <c r="S26" i="10"/>
  <c r="S25" i="10"/>
  <c r="S24" i="10"/>
  <c r="S23" i="10"/>
  <c r="S22" i="10"/>
  <c r="S21" i="10"/>
  <c r="S20" i="10"/>
  <c r="S19" i="10"/>
  <c r="S18" i="10"/>
  <c r="S17" i="10"/>
  <c r="S16" i="10"/>
  <c r="S15" i="10"/>
  <c r="S14" i="10"/>
  <c r="S13" i="10"/>
  <c r="S12" i="10"/>
  <c r="S11" i="10"/>
  <c r="S10" i="10"/>
  <c r="S9" i="10"/>
  <c r="S8" i="10"/>
  <c r="S7" i="10"/>
  <c r="U6" i="10"/>
  <c r="T5" i="10"/>
  <c r="T5" i="9"/>
  <c r="U6" i="9"/>
  <c r="U6" i="8"/>
  <c r="T5" i="8"/>
  <c r="U6" i="7"/>
  <c r="T5" i="7"/>
  <c r="T6" i="6"/>
  <c r="S5" i="6"/>
  <c r="U6" i="5"/>
  <c r="T5" i="5"/>
  <c r="U6" i="4"/>
  <c r="T5" i="4"/>
  <c r="P5" i="1"/>
  <c r="V6" i="14" l="1"/>
  <c r="U5" i="14"/>
  <c r="V6" i="13"/>
  <c r="U5" i="13"/>
  <c r="V6" i="12"/>
  <c r="U5" i="12"/>
  <c r="V6" i="11"/>
  <c r="U5" i="11"/>
  <c r="V6" i="10"/>
  <c r="U5" i="10"/>
  <c r="V6" i="9"/>
  <c r="U5" i="9"/>
  <c r="V6" i="8"/>
  <c r="U5" i="8"/>
  <c r="T26" i="7"/>
  <c r="T25" i="7"/>
  <c r="T24" i="7"/>
  <c r="T23" i="7"/>
  <c r="T22" i="7"/>
  <c r="T20" i="7"/>
  <c r="T18" i="7"/>
  <c r="T9" i="7"/>
  <c r="T8" i="7"/>
  <c r="T7" i="7"/>
  <c r="T19" i="7"/>
  <c r="T16" i="7"/>
  <c r="T14" i="7"/>
  <c r="T12" i="7"/>
  <c r="T10" i="7"/>
  <c r="T21" i="7"/>
  <c r="T17" i="7"/>
  <c r="T15" i="7"/>
  <c r="T13" i="7"/>
  <c r="T11" i="7"/>
  <c r="V6" i="7"/>
  <c r="U5" i="7"/>
  <c r="U6" i="6"/>
  <c r="T5" i="6"/>
  <c r="V6" i="5"/>
  <c r="U5" i="5"/>
  <c r="V6" i="4"/>
  <c r="U5" i="4"/>
  <c r="Q5" i="1"/>
  <c r="W6" i="14" l="1"/>
  <c r="V5" i="14"/>
  <c r="W6" i="13"/>
  <c r="V5" i="13"/>
  <c r="U26" i="12"/>
  <c r="U25" i="12"/>
  <c r="U24" i="12"/>
  <c r="U23" i="12"/>
  <c r="U22" i="12"/>
  <c r="U21" i="12"/>
  <c r="U20" i="12"/>
  <c r="U19" i="12"/>
  <c r="U18" i="12"/>
  <c r="U17" i="12"/>
  <c r="U16" i="12"/>
  <c r="U15" i="12"/>
  <c r="U14" i="12"/>
  <c r="U13" i="12"/>
  <c r="U12" i="12"/>
  <c r="U11" i="12"/>
  <c r="U10" i="12"/>
  <c r="U9" i="12"/>
  <c r="U8" i="12"/>
  <c r="U7" i="12"/>
  <c r="W6" i="12"/>
  <c r="V5" i="12"/>
  <c r="W6" i="11"/>
  <c r="V5" i="11"/>
  <c r="W6" i="10"/>
  <c r="V5" i="10"/>
  <c r="W6" i="9"/>
  <c r="V5" i="9"/>
  <c r="W6" i="8"/>
  <c r="V5" i="8"/>
  <c r="V5" i="7"/>
  <c r="W6" i="7"/>
  <c r="V6" i="6"/>
  <c r="U5" i="6"/>
  <c r="W6" i="5"/>
  <c r="V5" i="5"/>
  <c r="W6" i="4"/>
  <c r="V5" i="4"/>
  <c r="R5" i="1"/>
  <c r="X6" i="14" l="1"/>
  <c r="W5" i="14"/>
  <c r="X6" i="13"/>
  <c r="W5" i="13"/>
  <c r="X6" i="12"/>
  <c r="W5" i="12"/>
  <c r="X6" i="11"/>
  <c r="W5" i="11"/>
  <c r="X6" i="10"/>
  <c r="W5" i="10"/>
  <c r="V26" i="9"/>
  <c r="V25" i="9"/>
  <c r="V24" i="9"/>
  <c r="V23" i="9"/>
  <c r="V21" i="9"/>
  <c r="V19" i="9"/>
  <c r="V17" i="9"/>
  <c r="V9" i="9"/>
  <c r="V8" i="9"/>
  <c r="V7" i="9"/>
  <c r="V18" i="9"/>
  <c r="V22" i="9"/>
  <c r="V20" i="9"/>
  <c r="V16" i="9"/>
  <c r="V14" i="9"/>
  <c r="V12" i="9"/>
  <c r="V10" i="9"/>
  <c r="V15" i="9"/>
  <c r="V13" i="9"/>
  <c r="V11" i="9"/>
  <c r="X6" i="9"/>
  <c r="W5" i="9"/>
  <c r="X6" i="8"/>
  <c r="W5" i="8"/>
  <c r="X6" i="7"/>
  <c r="W5" i="7"/>
  <c r="W6" i="6"/>
  <c r="V5" i="6"/>
  <c r="X6" i="5"/>
  <c r="W5" i="5"/>
  <c r="X6" i="4"/>
  <c r="W5" i="4"/>
  <c r="S5" i="1"/>
  <c r="W26" i="14" l="1"/>
  <c r="W25" i="14"/>
  <c r="W24" i="14"/>
  <c r="W23" i="14"/>
  <c r="W22" i="14"/>
  <c r="W21" i="14"/>
  <c r="W20" i="14"/>
  <c r="W19" i="14"/>
  <c r="W18" i="14"/>
  <c r="W17" i="14"/>
  <c r="W16" i="14"/>
  <c r="W15" i="14"/>
  <c r="W14" i="14"/>
  <c r="W13" i="14"/>
  <c r="W12" i="14"/>
  <c r="W9" i="14"/>
  <c r="W8" i="14"/>
  <c r="W7" i="14"/>
  <c r="W11" i="14"/>
  <c r="W10" i="14"/>
  <c r="Y6" i="14"/>
  <c r="X5" i="14"/>
  <c r="Y6" i="13"/>
  <c r="X5" i="13"/>
  <c r="Y6" i="12"/>
  <c r="X5" i="12"/>
  <c r="W26" i="11"/>
  <c r="W25" i="11"/>
  <c r="W24" i="11"/>
  <c r="W23" i="11"/>
  <c r="W22" i="11"/>
  <c r="W21" i="11"/>
  <c r="W20" i="11"/>
  <c r="W19" i="11"/>
  <c r="W18" i="11"/>
  <c r="W17" i="11"/>
  <c r="W16" i="11"/>
  <c r="W15" i="11"/>
  <c r="W14" i="11"/>
  <c r="W13" i="11"/>
  <c r="W12" i="11"/>
  <c r="W11" i="11"/>
  <c r="W10" i="11"/>
  <c r="W9" i="11"/>
  <c r="W8" i="11"/>
  <c r="W7" i="11"/>
  <c r="Y6" i="11"/>
  <c r="X5" i="11"/>
  <c r="Y6" i="10"/>
  <c r="X5" i="10"/>
  <c r="X5" i="9"/>
  <c r="Y6" i="9"/>
  <c r="Y6" i="8"/>
  <c r="X5" i="8"/>
  <c r="Y6" i="7"/>
  <c r="X5" i="7"/>
  <c r="V26" i="6"/>
  <c r="V25" i="6"/>
  <c r="V23" i="6"/>
  <c r="V22" i="6"/>
  <c r="V21" i="6"/>
  <c r="V20" i="6"/>
  <c r="V24" i="6"/>
  <c r="V19" i="6"/>
  <c r="V18" i="6"/>
  <c r="V17" i="6"/>
  <c r="V16" i="6"/>
  <c r="V15" i="6"/>
  <c r="V14" i="6"/>
  <c r="V12" i="6"/>
  <c r="V11" i="6"/>
  <c r="V10" i="6"/>
  <c r="V9" i="6"/>
  <c r="V7" i="6"/>
  <c r="V13" i="6"/>
  <c r="V8" i="6"/>
  <c r="X6" i="6"/>
  <c r="W5" i="6"/>
  <c r="Y6" i="5"/>
  <c r="X5" i="5"/>
  <c r="Y6" i="4"/>
  <c r="X5" i="4"/>
  <c r="U6" i="1"/>
  <c r="T5" i="1"/>
  <c r="Z6" i="14" l="1"/>
  <c r="Y5" i="14"/>
  <c r="Z6" i="13"/>
  <c r="Y5" i="13"/>
  <c r="Z6" i="12"/>
  <c r="Y5" i="12"/>
  <c r="Z6" i="11"/>
  <c r="Y5" i="11"/>
  <c r="Z6" i="10"/>
  <c r="Y5" i="10"/>
  <c r="Z6" i="9"/>
  <c r="Y5" i="9"/>
  <c r="X26" i="8"/>
  <c r="X25" i="8"/>
  <c r="X24" i="8"/>
  <c r="X22" i="8"/>
  <c r="X21" i="8"/>
  <c r="X20" i="8"/>
  <c r="X23" i="8"/>
  <c r="X19" i="8"/>
  <c r="X18" i="8"/>
  <c r="X17" i="8"/>
  <c r="X16" i="8"/>
  <c r="X15" i="8"/>
  <c r="X14" i="8"/>
  <c r="X13" i="8"/>
  <c r="X11" i="8"/>
  <c r="X10" i="8"/>
  <c r="X12" i="8"/>
  <c r="X9" i="8"/>
  <c r="X8" i="8"/>
  <c r="X7" i="8"/>
  <c r="Z6" i="8"/>
  <c r="Y5" i="8"/>
  <c r="Z6" i="7"/>
  <c r="Y5" i="7"/>
  <c r="Y6" i="6"/>
  <c r="X5" i="6"/>
  <c r="Z6" i="5"/>
  <c r="Y5" i="5"/>
  <c r="Z6" i="4"/>
  <c r="Y5" i="4"/>
  <c r="V6" i="1"/>
  <c r="U5" i="1"/>
  <c r="Y19" i="13" l="1"/>
  <c r="Y20" i="13"/>
  <c r="Y21" i="13"/>
  <c r="Y22" i="13"/>
  <c r="Y23" i="13"/>
  <c r="Y24" i="13"/>
  <c r="Y25" i="13"/>
  <c r="Y26" i="13"/>
  <c r="Y8" i="13"/>
  <c r="Y9" i="13"/>
  <c r="Y10" i="13"/>
  <c r="Y11" i="13"/>
  <c r="Y12" i="13"/>
  <c r="Y13" i="13"/>
  <c r="Y14" i="13"/>
  <c r="Y15" i="13"/>
  <c r="Y16" i="13"/>
  <c r="Y17" i="13"/>
  <c r="Y18" i="13"/>
  <c r="AA6" i="14"/>
  <c r="Z5" i="14"/>
  <c r="Y7" i="13"/>
  <c r="AA6" i="13"/>
  <c r="Z5" i="13"/>
  <c r="AA6" i="12"/>
  <c r="Z5" i="12"/>
  <c r="AA6" i="11"/>
  <c r="Z5" i="11"/>
  <c r="AA6" i="10"/>
  <c r="Z5" i="10"/>
  <c r="AA6" i="9"/>
  <c r="Z5" i="9"/>
  <c r="AA6" i="8"/>
  <c r="Z5" i="8"/>
  <c r="Z5" i="7"/>
  <c r="AA6" i="7"/>
  <c r="Z6" i="6"/>
  <c r="Y5" i="6"/>
  <c r="Y26" i="5"/>
  <c r="Y25" i="5"/>
  <c r="Y24" i="5"/>
  <c r="Y23" i="5"/>
  <c r="Y22" i="5"/>
  <c r="Y21" i="5"/>
  <c r="Y20" i="5"/>
  <c r="Y19" i="5"/>
  <c r="Y18" i="5"/>
  <c r="Y17" i="5"/>
  <c r="Y16" i="5"/>
  <c r="Y15" i="5"/>
  <c r="Y14" i="5"/>
  <c r="Y13" i="5"/>
  <c r="Y12" i="5"/>
  <c r="Y11" i="5"/>
  <c r="Y10" i="5"/>
  <c r="Y9" i="5"/>
  <c r="Y8" i="5"/>
  <c r="Y7" i="5"/>
  <c r="AA6" i="5"/>
  <c r="Z5" i="5"/>
  <c r="Y26" i="4"/>
  <c r="Y25" i="4"/>
  <c r="Y24" i="4"/>
  <c r="Y23" i="4"/>
  <c r="Y22" i="4"/>
  <c r="Y21" i="4"/>
  <c r="Y20" i="4"/>
  <c r="Y19" i="4"/>
  <c r="Y18" i="4"/>
  <c r="Y17" i="4"/>
  <c r="Y16" i="4"/>
  <c r="Y15" i="4"/>
  <c r="Y14" i="4"/>
  <c r="Y13" i="4"/>
  <c r="Y12" i="4"/>
  <c r="Y11" i="4"/>
  <c r="Y9" i="4"/>
  <c r="Y8" i="4"/>
  <c r="Y7" i="4"/>
  <c r="Y10" i="4"/>
  <c r="AA6" i="4"/>
  <c r="Z5" i="4"/>
  <c r="U8" i="1"/>
  <c r="U10" i="1"/>
  <c r="U12" i="1"/>
  <c r="U11" i="1"/>
  <c r="U14" i="1"/>
  <c r="U9" i="1"/>
  <c r="U13" i="1"/>
  <c r="U15" i="1"/>
  <c r="U17" i="1"/>
  <c r="U19" i="1"/>
  <c r="U16" i="1"/>
  <c r="U20" i="1"/>
  <c r="U22" i="1"/>
  <c r="U18" i="1"/>
  <c r="U21" i="1"/>
  <c r="U23" i="1"/>
  <c r="U25" i="1"/>
  <c r="U24" i="1"/>
  <c r="U7" i="1"/>
  <c r="U26" i="1"/>
  <c r="W6" i="1"/>
  <c r="V5" i="1"/>
  <c r="AB6" i="14" l="1"/>
  <c r="AA5" i="14"/>
  <c r="AB6" i="13"/>
  <c r="AA5" i="13"/>
  <c r="AB6" i="12"/>
  <c r="AA5" i="12"/>
  <c r="AB6" i="11"/>
  <c r="AA5" i="11"/>
  <c r="Z26" i="10"/>
  <c r="Z25" i="10"/>
  <c r="Z23" i="10"/>
  <c r="Z22" i="10"/>
  <c r="Z21" i="10"/>
  <c r="Z20" i="10"/>
  <c r="Z24" i="10"/>
  <c r="Z18" i="10"/>
  <c r="Z17" i="10"/>
  <c r="Z16" i="10"/>
  <c r="Z15" i="10"/>
  <c r="Z14" i="10"/>
  <c r="Z13" i="10"/>
  <c r="Z19" i="10"/>
  <c r="Z12" i="10"/>
  <c r="Z9" i="10"/>
  <c r="Z8" i="10"/>
  <c r="Z7" i="10"/>
  <c r="Z11" i="10"/>
  <c r="Z10" i="10"/>
  <c r="AB6" i="10"/>
  <c r="AA5" i="10"/>
  <c r="AB6" i="9"/>
  <c r="AA5" i="9"/>
  <c r="AB6" i="8"/>
  <c r="AA5" i="8"/>
  <c r="AB6" i="7"/>
  <c r="AA5" i="7"/>
  <c r="AA6" i="6"/>
  <c r="Z5" i="6"/>
  <c r="AB6" i="5"/>
  <c r="AA5" i="5"/>
  <c r="AB6" i="4"/>
  <c r="AA5" i="4"/>
  <c r="X6" i="1"/>
  <c r="W5" i="1"/>
  <c r="AC6" i="14" l="1"/>
  <c r="AB5" i="14"/>
  <c r="AC6" i="13"/>
  <c r="AB5" i="13"/>
  <c r="AC6" i="12"/>
  <c r="AB5" i="12"/>
  <c r="AC6" i="11"/>
  <c r="AB5" i="11"/>
  <c r="AC6" i="10"/>
  <c r="AB5" i="10"/>
  <c r="AB5" i="9"/>
  <c r="AC6" i="9"/>
  <c r="AC6" i="8"/>
  <c r="AB5" i="8"/>
  <c r="AA25" i="7"/>
  <c r="AA23" i="7"/>
  <c r="AA22" i="7"/>
  <c r="AA21" i="7"/>
  <c r="AA20" i="7"/>
  <c r="AA19" i="7"/>
  <c r="AA18" i="7"/>
  <c r="AA17" i="7"/>
  <c r="AA24" i="7"/>
  <c r="AA16" i="7"/>
  <c r="AA15" i="7"/>
  <c r="AA14" i="7"/>
  <c r="AA13" i="7"/>
  <c r="AA12" i="7"/>
  <c r="AA11" i="7"/>
  <c r="AA10" i="7"/>
  <c r="AA26" i="7"/>
  <c r="AA8" i="7"/>
  <c r="AA9" i="7"/>
  <c r="AA7" i="7"/>
  <c r="AC6" i="7"/>
  <c r="AB5" i="7"/>
  <c r="AB6" i="6"/>
  <c r="AA5" i="6"/>
  <c r="AC6" i="5"/>
  <c r="AB5" i="5"/>
  <c r="AC6" i="4"/>
  <c r="AB5" i="4"/>
  <c r="Y6" i="1"/>
  <c r="X5" i="1"/>
  <c r="AD6" i="14" l="1"/>
  <c r="AC5" i="14"/>
  <c r="AD6" i="13"/>
  <c r="AC5" i="13"/>
  <c r="AB26" i="12"/>
  <c r="AB25" i="12"/>
  <c r="AB24" i="12"/>
  <c r="AB22" i="12"/>
  <c r="AB21" i="12"/>
  <c r="AB20" i="12"/>
  <c r="AB23" i="12"/>
  <c r="AB18" i="12"/>
  <c r="AB19" i="12"/>
  <c r="AB17" i="12"/>
  <c r="AB16" i="12"/>
  <c r="AB15" i="12"/>
  <c r="AB14" i="12"/>
  <c r="AB13" i="12"/>
  <c r="AB12" i="12"/>
  <c r="AB11" i="12"/>
  <c r="AB9" i="12"/>
  <c r="AB8" i="12"/>
  <c r="AB7" i="12"/>
  <c r="AB10" i="12"/>
  <c r="AD6" i="12"/>
  <c r="AC5" i="12"/>
  <c r="AD6" i="11"/>
  <c r="AC5" i="11"/>
  <c r="AD6" i="10"/>
  <c r="AC5" i="10"/>
  <c r="AD6" i="9"/>
  <c r="AC5" i="9"/>
  <c r="AD6" i="8"/>
  <c r="AC5" i="8"/>
  <c r="AD6" i="7"/>
  <c r="AC5" i="7"/>
  <c r="AC6" i="6"/>
  <c r="AB5" i="6"/>
  <c r="AD6" i="5"/>
  <c r="AC5" i="5"/>
  <c r="AD6" i="4"/>
  <c r="AC5" i="4"/>
  <c r="Z6" i="1"/>
  <c r="Y5" i="1"/>
  <c r="AE6" i="14" l="1"/>
  <c r="AD5" i="14"/>
  <c r="AE6" i="13"/>
  <c r="AD5" i="13"/>
  <c r="AE6" i="12"/>
  <c r="AD5" i="12"/>
  <c r="AE6" i="11"/>
  <c r="AD5" i="11"/>
  <c r="AE6" i="10"/>
  <c r="AD5" i="10"/>
  <c r="AC26" i="9"/>
  <c r="AC24" i="9"/>
  <c r="AC22" i="9"/>
  <c r="AC21" i="9"/>
  <c r="AC20" i="9"/>
  <c r="AC19" i="9"/>
  <c r="AC18" i="9"/>
  <c r="AC17" i="9"/>
  <c r="AC23" i="9"/>
  <c r="AC16" i="9"/>
  <c r="AC15" i="9"/>
  <c r="AC14" i="9"/>
  <c r="AC13" i="9"/>
  <c r="AC12" i="9"/>
  <c r="AC11" i="9"/>
  <c r="AC10" i="9"/>
  <c r="AC25" i="9"/>
  <c r="AC8" i="9"/>
  <c r="AC9" i="9"/>
  <c r="AC7" i="9"/>
  <c r="AE6" i="9"/>
  <c r="AD5" i="9"/>
  <c r="AE6" i="8"/>
  <c r="AD5" i="8"/>
  <c r="AD5" i="7"/>
  <c r="AE6" i="7"/>
  <c r="AD6" i="6"/>
  <c r="AC5" i="6"/>
  <c r="AE6" i="5"/>
  <c r="AD5" i="5"/>
  <c r="AE6" i="4"/>
  <c r="AD5" i="4"/>
  <c r="AA6" i="1"/>
  <c r="Z5" i="1"/>
  <c r="AD26" i="14" l="1"/>
  <c r="AD25" i="14"/>
  <c r="AD23" i="14"/>
  <c r="AD22" i="14"/>
  <c r="AD21" i="14"/>
  <c r="AD20" i="14"/>
  <c r="AD24" i="14"/>
  <c r="AD19" i="14"/>
  <c r="AD18" i="14"/>
  <c r="AD17" i="14"/>
  <c r="AD16" i="14"/>
  <c r="AD15" i="14"/>
  <c r="AD14" i="14"/>
  <c r="AD13" i="14"/>
  <c r="AD12" i="14"/>
  <c r="AD11" i="14"/>
  <c r="AD10" i="14"/>
  <c r="AD9" i="14"/>
  <c r="AD8" i="14"/>
  <c r="AD7" i="14"/>
  <c r="AF6" i="14"/>
  <c r="AE5" i="14"/>
  <c r="AF6" i="13"/>
  <c r="AE5" i="13"/>
  <c r="AF6" i="12"/>
  <c r="AE5" i="12"/>
  <c r="AD26" i="11"/>
  <c r="AD25" i="11"/>
  <c r="AD23" i="11"/>
  <c r="AD22" i="11"/>
  <c r="AD21" i="11"/>
  <c r="AD20" i="11"/>
  <c r="AD24" i="11"/>
  <c r="AD19" i="11"/>
  <c r="AD18" i="11"/>
  <c r="AD17" i="11"/>
  <c r="AD16" i="11"/>
  <c r="AD15" i="11"/>
  <c r="AD14" i="11"/>
  <c r="AD13" i="11"/>
  <c r="AD9" i="11"/>
  <c r="AD8" i="11"/>
  <c r="AD7" i="11"/>
  <c r="AD12" i="11"/>
  <c r="AD11" i="11"/>
  <c r="AD10" i="11"/>
  <c r="AF6" i="11"/>
  <c r="AE5" i="11"/>
  <c r="AF6" i="10"/>
  <c r="AE5" i="10"/>
  <c r="AF6" i="9"/>
  <c r="AE5" i="9"/>
  <c r="AF6" i="8"/>
  <c r="AE5" i="8"/>
  <c r="AF6" i="7"/>
  <c r="AE5" i="7"/>
  <c r="AC26" i="6"/>
  <c r="AC25" i="6"/>
  <c r="AC24" i="6"/>
  <c r="AC23" i="6"/>
  <c r="AC22" i="6"/>
  <c r="AC20" i="6"/>
  <c r="AC21" i="6"/>
  <c r="AC19" i="6"/>
  <c r="AC18" i="6"/>
  <c r="AC17" i="6"/>
  <c r="AC16" i="6"/>
  <c r="AC15" i="6"/>
  <c r="AC14" i="6"/>
  <c r="AC13" i="6"/>
  <c r="AC9" i="6"/>
  <c r="AC8" i="6"/>
  <c r="AC7" i="6"/>
  <c r="AC12" i="6"/>
  <c r="AC10" i="6"/>
  <c r="AC11" i="6"/>
  <c r="AE6" i="6"/>
  <c r="AD5" i="6"/>
  <c r="AF6" i="5"/>
  <c r="AE5" i="5"/>
  <c r="AF6" i="4"/>
  <c r="AE5" i="4"/>
  <c r="AB6" i="1"/>
  <c r="AA5" i="1"/>
  <c r="AG6" i="14" l="1"/>
  <c r="AF5" i="14"/>
  <c r="AG6" i="13"/>
  <c r="AF5" i="13"/>
  <c r="AG6" i="12"/>
  <c r="AF5" i="12"/>
  <c r="AG6" i="11"/>
  <c r="AF5" i="11"/>
  <c r="AG6" i="10"/>
  <c r="AF5" i="10"/>
  <c r="AF5" i="9"/>
  <c r="AG6" i="9"/>
  <c r="AE26" i="8"/>
  <c r="AE25" i="8"/>
  <c r="AE24" i="8"/>
  <c r="AE23" i="8"/>
  <c r="AE22" i="8"/>
  <c r="AE21" i="8"/>
  <c r="AE20" i="8"/>
  <c r="AE19" i="8"/>
  <c r="AE18" i="8"/>
  <c r="AE17" i="8"/>
  <c r="AE16" i="8"/>
  <c r="AE15" i="8"/>
  <c r="AE14" i="8"/>
  <c r="AE13" i="8"/>
  <c r="AE12" i="8"/>
  <c r="AE11" i="8"/>
  <c r="AE9" i="8"/>
  <c r="AE8" i="8"/>
  <c r="AE7" i="8"/>
  <c r="AE10" i="8"/>
  <c r="AG6" i="8"/>
  <c r="AF5" i="8"/>
  <c r="AG6" i="7"/>
  <c r="AF5" i="7"/>
  <c r="AF6" i="6"/>
  <c r="AE5" i="6"/>
  <c r="AG6" i="5"/>
  <c r="AF5" i="5"/>
  <c r="AG6" i="4"/>
  <c r="AF5" i="4"/>
  <c r="AC6" i="1"/>
  <c r="AD6" i="1" s="1"/>
  <c r="AB5" i="1"/>
  <c r="AF8" i="13" l="1"/>
  <c r="AF9" i="13"/>
  <c r="AF10" i="13"/>
  <c r="AF11" i="13"/>
  <c r="AF12" i="13"/>
  <c r="AF13" i="13"/>
  <c r="AF14" i="13"/>
  <c r="AF15" i="13"/>
  <c r="AF16" i="13"/>
  <c r="AF17" i="13"/>
  <c r="AF18" i="13"/>
  <c r="AF19" i="13"/>
  <c r="AF20" i="13"/>
  <c r="AF21" i="13"/>
  <c r="AF22" i="13"/>
  <c r="AF23" i="13"/>
  <c r="AF24" i="13"/>
  <c r="AF25" i="13"/>
  <c r="AF26" i="13"/>
  <c r="AH6" i="14"/>
  <c r="AG5" i="14"/>
  <c r="AF7" i="13"/>
  <c r="AH6" i="13"/>
  <c r="AG5" i="13"/>
  <c r="AH6" i="12"/>
  <c r="AG5" i="12"/>
  <c r="AH6" i="11"/>
  <c r="AG5" i="11"/>
  <c r="AH6" i="10"/>
  <c r="AG5" i="10"/>
  <c r="AH6" i="9"/>
  <c r="AG5" i="9"/>
  <c r="AH6" i="8"/>
  <c r="AG5" i="8"/>
  <c r="AH6" i="7"/>
  <c r="AG5" i="7"/>
  <c r="AG6" i="6"/>
  <c r="AF5" i="6"/>
  <c r="AF26" i="5"/>
  <c r="AF25" i="5"/>
  <c r="AF23" i="5"/>
  <c r="AF24" i="5"/>
  <c r="AF22" i="5"/>
  <c r="AF21" i="5"/>
  <c r="AF20" i="5"/>
  <c r="AF19" i="5"/>
  <c r="AF18" i="5"/>
  <c r="AF17" i="5"/>
  <c r="AF16" i="5"/>
  <c r="AF15" i="5"/>
  <c r="AF14" i="5"/>
  <c r="AF13" i="5"/>
  <c r="AF9" i="5"/>
  <c r="AF8" i="5"/>
  <c r="AF7" i="5"/>
  <c r="AF12" i="5"/>
  <c r="AF11" i="5"/>
  <c r="AF10" i="5"/>
  <c r="AH6" i="5"/>
  <c r="AG5" i="5"/>
  <c r="AF26" i="4"/>
  <c r="AF25" i="4"/>
  <c r="AF24" i="4"/>
  <c r="AF23" i="4"/>
  <c r="AF22" i="4"/>
  <c r="AF21" i="4"/>
  <c r="AF20" i="4"/>
  <c r="AF19" i="4"/>
  <c r="AF18" i="4"/>
  <c r="AF17" i="4"/>
  <c r="AF16" i="4"/>
  <c r="AF15" i="4"/>
  <c r="AF14" i="4"/>
  <c r="AF13" i="4"/>
  <c r="AF12" i="4"/>
  <c r="AF11" i="4"/>
  <c r="AF10" i="4"/>
  <c r="AF9" i="4"/>
  <c r="AF8" i="4"/>
  <c r="AF7" i="4"/>
  <c r="AH6" i="4"/>
  <c r="AG5" i="4"/>
  <c r="AB9" i="1"/>
  <c r="AB11" i="1"/>
  <c r="AB10" i="1"/>
  <c r="AB13" i="1"/>
  <c r="AB15" i="1"/>
  <c r="AB8" i="1"/>
  <c r="AB12" i="1"/>
  <c r="AB14" i="1"/>
  <c r="AB16" i="1"/>
  <c r="AB18" i="1"/>
  <c r="AB19" i="1"/>
  <c r="AB21" i="1"/>
  <c r="AB17" i="1"/>
  <c r="AB20" i="1"/>
  <c r="AB22" i="1"/>
  <c r="AB24" i="1"/>
  <c r="AB26" i="1"/>
  <c r="AB7" i="1"/>
  <c r="AB23" i="1"/>
  <c r="AB25" i="1"/>
  <c r="AE6" i="1"/>
  <c r="AD5" i="1"/>
  <c r="AC5" i="1"/>
  <c r="AI6" i="14" l="1"/>
  <c r="AH5" i="14"/>
  <c r="AI6" i="13"/>
  <c r="AH5" i="13"/>
  <c r="AI6" i="12"/>
  <c r="AH5" i="12"/>
  <c r="AI6" i="11"/>
  <c r="AH5" i="11"/>
  <c r="AG26" i="10"/>
  <c r="AG25" i="10"/>
  <c r="AG24" i="10"/>
  <c r="AG23" i="10"/>
  <c r="AG22" i="10"/>
  <c r="AG21" i="10"/>
  <c r="AG20" i="10"/>
  <c r="AG19" i="10"/>
  <c r="AG18" i="10"/>
  <c r="AG17" i="10"/>
  <c r="AG16" i="10"/>
  <c r="AG15" i="10"/>
  <c r="AG14" i="10"/>
  <c r="AG13" i="10"/>
  <c r="AG12" i="10"/>
  <c r="AG11" i="10"/>
  <c r="AG10" i="10"/>
  <c r="AG9" i="10"/>
  <c r="AG8" i="10"/>
  <c r="AG7" i="10"/>
  <c r="AI6" i="10"/>
  <c r="AH5" i="10"/>
  <c r="AI6" i="9"/>
  <c r="AH5" i="9"/>
  <c r="AI6" i="8"/>
  <c r="AH5" i="8"/>
  <c r="AH5" i="7"/>
  <c r="AI6" i="7"/>
  <c r="AH6" i="6"/>
  <c r="AG5" i="6"/>
  <c r="AI6" i="5"/>
  <c r="AH5" i="5"/>
  <c r="AI6" i="4"/>
  <c r="AH5" i="4"/>
  <c r="AE5" i="1"/>
  <c r="AF6" i="1"/>
  <c r="AJ6" i="14" l="1"/>
  <c r="AI5" i="14"/>
  <c r="AJ6" i="13"/>
  <c r="AI5" i="13"/>
  <c r="AJ6" i="12"/>
  <c r="AI5" i="12"/>
  <c r="AJ6" i="11"/>
  <c r="AI5" i="11"/>
  <c r="AJ6" i="10"/>
  <c r="AI5" i="10"/>
  <c r="AJ6" i="9"/>
  <c r="AI5" i="9"/>
  <c r="AJ6" i="8"/>
  <c r="AI5" i="8"/>
  <c r="AJ6" i="7"/>
  <c r="AI5" i="7"/>
  <c r="AH26" i="7"/>
  <c r="AH25" i="7"/>
  <c r="AH24" i="7"/>
  <c r="AH23" i="7"/>
  <c r="AH21" i="7"/>
  <c r="AH19" i="7"/>
  <c r="AH17" i="7"/>
  <c r="AH9" i="7"/>
  <c r="AH8" i="7"/>
  <c r="AH7" i="7"/>
  <c r="AH20" i="7"/>
  <c r="AH15" i="7"/>
  <c r="AH13" i="7"/>
  <c r="AH11" i="7"/>
  <c r="AH22" i="7"/>
  <c r="AH18" i="7"/>
  <c r="AH16" i="7"/>
  <c r="AH14" i="7"/>
  <c r="AH12" i="7"/>
  <c r="AH10" i="7"/>
  <c r="AI6" i="6"/>
  <c r="AH5" i="6"/>
  <c r="AJ6" i="5"/>
  <c r="AI5" i="5"/>
  <c r="AJ6" i="4"/>
  <c r="AI5" i="4"/>
  <c r="AF5" i="1"/>
  <c r="AG6" i="1"/>
  <c r="AT14" i="7" l="1"/>
  <c r="AV14" i="7"/>
  <c r="AU14" i="7"/>
  <c r="AV25" i="7"/>
  <c r="AT25" i="7"/>
  <c r="AU25" i="7"/>
  <c r="AU22" i="7"/>
  <c r="AT22" i="7"/>
  <c r="AV22" i="7"/>
  <c r="AV20" i="7"/>
  <c r="AU20" i="7"/>
  <c r="AT20" i="7"/>
  <c r="AU18" i="7"/>
  <c r="AT18" i="7"/>
  <c r="AV18" i="7"/>
  <c r="AV11" i="7"/>
  <c r="AU11" i="7"/>
  <c r="AT11" i="7"/>
  <c r="AU8" i="7"/>
  <c r="AV8" i="7"/>
  <c r="AT8" i="7"/>
  <c r="AU16" i="7"/>
  <c r="AV16" i="7"/>
  <c r="AT16" i="7"/>
  <c r="AU26" i="7"/>
  <c r="AT26" i="7"/>
  <c r="AV26" i="7"/>
  <c r="AV13" i="7"/>
  <c r="AT13" i="7"/>
  <c r="AU13" i="7"/>
  <c r="AV15" i="7"/>
  <c r="AT15" i="7"/>
  <c r="AU15" i="7"/>
  <c r="AT17" i="7"/>
  <c r="AU17" i="7"/>
  <c r="AV17" i="7"/>
  <c r="AV12" i="7"/>
  <c r="AU12" i="7"/>
  <c r="AT12" i="7"/>
  <c r="AV24" i="7"/>
  <c r="AU24" i="7"/>
  <c r="AT24" i="7"/>
  <c r="AU9" i="7"/>
  <c r="AV9" i="7"/>
  <c r="AT9" i="7"/>
  <c r="AV10" i="7"/>
  <c r="AT10" i="7"/>
  <c r="AU10" i="7"/>
  <c r="AV23" i="7"/>
  <c r="AT23" i="7"/>
  <c r="AU23" i="7"/>
  <c r="AT7" i="7"/>
  <c r="AV7" i="7"/>
  <c r="AU7" i="7"/>
  <c r="AV19" i="7"/>
  <c r="AT19" i="7"/>
  <c r="AU19" i="7"/>
  <c r="AT21" i="7"/>
  <c r="AU21" i="7"/>
  <c r="AV21" i="7"/>
  <c r="AK6" i="14"/>
  <c r="AJ5" i="14"/>
  <c r="AK6" i="13"/>
  <c r="AJ5" i="13"/>
  <c r="AI26" i="12"/>
  <c r="AI25" i="12"/>
  <c r="AI24" i="12"/>
  <c r="AI23" i="12"/>
  <c r="AI22" i="12"/>
  <c r="AI21" i="12"/>
  <c r="AI20" i="12"/>
  <c r="AI19" i="12"/>
  <c r="AI18" i="12"/>
  <c r="AI17" i="12"/>
  <c r="AI16" i="12"/>
  <c r="AI15" i="12"/>
  <c r="AI14" i="12"/>
  <c r="AI13" i="12"/>
  <c r="AI12" i="12"/>
  <c r="AI10" i="12"/>
  <c r="AI11" i="12"/>
  <c r="AI9" i="12"/>
  <c r="AI8" i="12"/>
  <c r="AI7" i="12"/>
  <c r="AK6" i="12"/>
  <c r="AJ5" i="12"/>
  <c r="AK6" i="11"/>
  <c r="AJ5" i="11"/>
  <c r="AK6" i="10"/>
  <c r="AJ5" i="10"/>
  <c r="AJ5" i="9"/>
  <c r="AK6" i="9"/>
  <c r="AK6" i="8"/>
  <c r="AJ5" i="8"/>
  <c r="AK6" i="7"/>
  <c r="AJ5" i="7"/>
  <c r="AJ6" i="6"/>
  <c r="AI5" i="6"/>
  <c r="AK6" i="5"/>
  <c r="AJ5" i="5"/>
  <c r="AK6" i="4"/>
  <c r="AJ5" i="4"/>
  <c r="AG5" i="1"/>
  <c r="AH6" i="1"/>
  <c r="AU15" i="12" l="1"/>
  <c r="AT15" i="12"/>
  <c r="AV15" i="12"/>
  <c r="AT18" i="12"/>
  <c r="AU18" i="12"/>
  <c r="AV18" i="12"/>
  <c r="AU20" i="12"/>
  <c r="AV20" i="12"/>
  <c r="AT20" i="12"/>
  <c r="AV12" i="12"/>
  <c r="AT12" i="12"/>
  <c r="AU12" i="12"/>
  <c r="AT16" i="12"/>
  <c r="AV16" i="12"/>
  <c r="AU16" i="12"/>
  <c r="AT22" i="12"/>
  <c r="AV22" i="12"/>
  <c r="AU22" i="12"/>
  <c r="AU8" i="12"/>
  <c r="AT8" i="12"/>
  <c r="AV8" i="12"/>
  <c r="AV24" i="12"/>
  <c r="AT24" i="12"/>
  <c r="AU24" i="12"/>
  <c r="AV14" i="12"/>
  <c r="AU14" i="12"/>
  <c r="AT14" i="12"/>
  <c r="AT19" i="12"/>
  <c r="AV19" i="12"/>
  <c r="AU19" i="12"/>
  <c r="AT25" i="12"/>
  <c r="AV25" i="12"/>
  <c r="AU25" i="12"/>
  <c r="AU10" i="12"/>
  <c r="AV10" i="12"/>
  <c r="AT10" i="12"/>
  <c r="AT13" i="12"/>
  <c r="AV13" i="12"/>
  <c r="AU13" i="12"/>
  <c r="AU17" i="12"/>
  <c r="AV17" i="12"/>
  <c r="AT17" i="12"/>
  <c r="AT21" i="12"/>
  <c r="AU21" i="12"/>
  <c r="AV21" i="12"/>
  <c r="AT7" i="12"/>
  <c r="AU7" i="12"/>
  <c r="AV7" i="12"/>
  <c r="AV23" i="12"/>
  <c r="AT23" i="12"/>
  <c r="AU23" i="12"/>
  <c r="AV9" i="12"/>
  <c r="AT9" i="12"/>
  <c r="AU9" i="12"/>
  <c r="AT11" i="12"/>
  <c r="AV11" i="12"/>
  <c r="AU11" i="12"/>
  <c r="AV26" i="12"/>
  <c r="AT26" i="12"/>
  <c r="AU26" i="12"/>
  <c r="AL6" i="14"/>
  <c r="AK5" i="14"/>
  <c r="AL6" i="13"/>
  <c r="AM6" i="13" s="1"/>
  <c r="AK5" i="13"/>
  <c r="AL6" i="12"/>
  <c r="AK5" i="12"/>
  <c r="AL6" i="11"/>
  <c r="AM6" i="11" s="1"/>
  <c r="AK5" i="11"/>
  <c r="AL6" i="10"/>
  <c r="AK5" i="10"/>
  <c r="AL6" i="9"/>
  <c r="AK5" i="9"/>
  <c r="AJ26" i="9"/>
  <c r="AJ25" i="9"/>
  <c r="AJ24" i="9"/>
  <c r="AJ23" i="9"/>
  <c r="AJ22" i="9"/>
  <c r="AJ20" i="9"/>
  <c r="AJ18" i="9"/>
  <c r="AJ9" i="9"/>
  <c r="AJ8" i="9"/>
  <c r="AJ7" i="9"/>
  <c r="AJ17" i="9"/>
  <c r="AJ16" i="9"/>
  <c r="AJ21" i="9"/>
  <c r="AJ19" i="9"/>
  <c r="AJ15" i="9"/>
  <c r="AJ13" i="9"/>
  <c r="AJ11" i="9"/>
  <c r="AJ14" i="9"/>
  <c r="AJ12" i="9"/>
  <c r="AJ10" i="9"/>
  <c r="AL6" i="8"/>
  <c r="AM6" i="8" s="1"/>
  <c r="AK5" i="8"/>
  <c r="AL6" i="7"/>
  <c r="AK5" i="7"/>
  <c r="AK6" i="6"/>
  <c r="AJ5" i="6"/>
  <c r="AL6" i="5"/>
  <c r="AK5" i="5"/>
  <c r="AL6" i="4"/>
  <c r="AK5" i="4"/>
  <c r="AH5" i="1"/>
  <c r="AI6" i="1"/>
  <c r="AT9" i="9" l="1"/>
  <c r="AV9" i="9"/>
  <c r="AU9" i="9"/>
  <c r="AU20" i="9"/>
  <c r="AT20" i="9"/>
  <c r="AV20" i="9"/>
  <c r="AU14" i="9"/>
  <c r="AV14" i="9"/>
  <c r="AT14" i="9"/>
  <c r="AT25" i="9"/>
  <c r="AV25" i="9"/>
  <c r="AU25" i="9"/>
  <c r="AV11" i="9"/>
  <c r="AT11" i="9"/>
  <c r="AU11" i="9"/>
  <c r="AT18" i="9"/>
  <c r="AV18" i="9"/>
  <c r="AU18" i="9"/>
  <c r="AV10" i="9"/>
  <c r="AU10" i="9"/>
  <c r="AT10" i="9"/>
  <c r="AV23" i="9"/>
  <c r="AT23" i="9"/>
  <c r="AU23" i="9"/>
  <c r="AT26" i="9"/>
  <c r="AU26" i="9"/>
  <c r="AV26" i="9"/>
  <c r="AT13" i="9"/>
  <c r="AV13" i="9"/>
  <c r="AU13" i="9"/>
  <c r="AV15" i="9"/>
  <c r="AU15" i="9"/>
  <c r="AT15" i="9"/>
  <c r="AT21" i="9"/>
  <c r="AU21" i="9"/>
  <c r="AV21" i="9"/>
  <c r="AV12" i="9"/>
  <c r="AT12" i="9"/>
  <c r="AU12" i="9"/>
  <c r="AT24" i="9"/>
  <c r="AV24" i="9"/>
  <c r="AU24" i="9"/>
  <c r="AU16" i="9"/>
  <c r="AT16" i="9"/>
  <c r="AV16" i="9"/>
  <c r="AU17" i="9"/>
  <c r="AT17" i="9"/>
  <c r="AV17" i="9"/>
  <c r="AU7" i="9"/>
  <c r="AV7" i="9"/>
  <c r="AT7" i="9"/>
  <c r="AT22" i="9"/>
  <c r="AU22" i="9"/>
  <c r="AV22" i="9"/>
  <c r="AV19" i="9"/>
  <c r="AT19" i="9"/>
  <c r="AU19" i="9"/>
  <c r="AT8" i="9"/>
  <c r="AU8" i="9"/>
  <c r="AV8" i="9"/>
  <c r="AK26" i="14"/>
  <c r="AK25" i="14"/>
  <c r="AK24" i="14"/>
  <c r="AK23" i="14"/>
  <c r="AK22" i="14"/>
  <c r="AK21" i="14"/>
  <c r="AK20" i="14"/>
  <c r="AK19" i="14"/>
  <c r="AK18" i="14"/>
  <c r="AK17" i="14"/>
  <c r="AK16" i="14"/>
  <c r="AK15" i="14"/>
  <c r="AK14" i="14"/>
  <c r="AK13" i="14"/>
  <c r="AK12" i="14"/>
  <c r="AK9" i="14"/>
  <c r="AK8" i="14"/>
  <c r="AK7" i="14"/>
  <c r="AK11" i="14"/>
  <c r="AK10" i="14"/>
  <c r="AM6" i="14"/>
  <c r="AL5" i="14"/>
  <c r="AL5" i="13"/>
  <c r="AM6" i="12"/>
  <c r="AL5" i="12"/>
  <c r="AK26" i="11"/>
  <c r="AK25" i="11"/>
  <c r="AK24" i="11"/>
  <c r="AK23" i="11"/>
  <c r="AK22" i="11"/>
  <c r="AK21" i="11"/>
  <c r="AK20" i="11"/>
  <c r="AK19" i="11"/>
  <c r="AK18" i="11"/>
  <c r="AK17" i="11"/>
  <c r="AK16" i="11"/>
  <c r="AK15" i="11"/>
  <c r="AK14" i="11"/>
  <c r="AK13" i="11"/>
  <c r="AK12" i="11"/>
  <c r="AK11" i="11"/>
  <c r="AK10" i="11"/>
  <c r="AK9" i="11"/>
  <c r="AK8" i="11"/>
  <c r="AK7" i="11"/>
  <c r="AL5" i="11"/>
  <c r="AM6" i="10"/>
  <c r="AL5" i="10"/>
  <c r="AM6" i="9"/>
  <c r="AL5" i="9"/>
  <c r="AL5" i="8"/>
  <c r="AL5" i="7"/>
  <c r="AM6" i="7"/>
  <c r="AJ26" i="6"/>
  <c r="AJ25" i="6"/>
  <c r="AJ24" i="6"/>
  <c r="AJ22" i="6"/>
  <c r="AJ21" i="6"/>
  <c r="AJ20" i="6"/>
  <c r="AJ23" i="6"/>
  <c r="AJ19" i="6"/>
  <c r="AJ18" i="6"/>
  <c r="AJ17" i="6"/>
  <c r="AJ16" i="6"/>
  <c r="AJ15" i="6"/>
  <c r="AJ13" i="6"/>
  <c r="AJ12" i="6"/>
  <c r="AJ11" i="6"/>
  <c r="AJ10" i="6"/>
  <c r="AJ8" i="6"/>
  <c r="AJ14" i="6"/>
  <c r="AJ9" i="6"/>
  <c r="AJ7" i="6"/>
  <c r="AL6" i="6"/>
  <c r="AM6" i="6" s="1"/>
  <c r="AK5" i="6"/>
  <c r="AM6" i="5"/>
  <c r="AL5" i="5"/>
  <c r="AM6" i="4"/>
  <c r="AL5" i="4"/>
  <c r="AI5" i="1"/>
  <c r="AJ6" i="1"/>
  <c r="AT16" i="11" l="1"/>
  <c r="AS16" i="11"/>
  <c r="AU16" i="11"/>
  <c r="AT10" i="14"/>
  <c r="AU10" i="14"/>
  <c r="AV10" i="14"/>
  <c r="AU23" i="14"/>
  <c r="AT23" i="14"/>
  <c r="AV23" i="14"/>
  <c r="AT25" i="14"/>
  <c r="AV25" i="14"/>
  <c r="AU25" i="14"/>
  <c r="AU13" i="14"/>
  <c r="AV13" i="14"/>
  <c r="AT13" i="14"/>
  <c r="AT7" i="11"/>
  <c r="AS7" i="11"/>
  <c r="AU7" i="11"/>
  <c r="AU14" i="14"/>
  <c r="AV14" i="14"/>
  <c r="AT14" i="14"/>
  <c r="AU23" i="6"/>
  <c r="AT23" i="6"/>
  <c r="AS23" i="6"/>
  <c r="AT8" i="11"/>
  <c r="AU8" i="11"/>
  <c r="AS8" i="11"/>
  <c r="AS24" i="11"/>
  <c r="AT24" i="11"/>
  <c r="AU24" i="11"/>
  <c r="AT15" i="14"/>
  <c r="AV15" i="14"/>
  <c r="AU15" i="14"/>
  <c r="AS12" i="6"/>
  <c r="AU12" i="6"/>
  <c r="AT12" i="6"/>
  <c r="AT17" i="11"/>
  <c r="AS17" i="11"/>
  <c r="AU17" i="11"/>
  <c r="AU11" i="14"/>
  <c r="AV11" i="14"/>
  <c r="AT11" i="14"/>
  <c r="AU24" i="14"/>
  <c r="AT24" i="14"/>
  <c r="AV24" i="14"/>
  <c r="AV12" i="14"/>
  <c r="AT12" i="14"/>
  <c r="AU12" i="14"/>
  <c r="AU18" i="6"/>
  <c r="AS18" i="6"/>
  <c r="AT18" i="6"/>
  <c r="AU22" i="11"/>
  <c r="AT22" i="11"/>
  <c r="AS22" i="11"/>
  <c r="AU19" i="6"/>
  <c r="AS19" i="6"/>
  <c r="AT19" i="6"/>
  <c r="AU23" i="11"/>
  <c r="AT23" i="11"/>
  <c r="AS23" i="11"/>
  <c r="AT20" i="6"/>
  <c r="AS20" i="6"/>
  <c r="AU20" i="6"/>
  <c r="AT9" i="11"/>
  <c r="AU9" i="11"/>
  <c r="AS9" i="11"/>
  <c r="AT25" i="11"/>
  <c r="AU25" i="11"/>
  <c r="AS25" i="11"/>
  <c r="AT16" i="14"/>
  <c r="AV16" i="14"/>
  <c r="AU16" i="14"/>
  <c r="AU13" i="6"/>
  <c r="AS13" i="6"/>
  <c r="AT13" i="6"/>
  <c r="AS18" i="11"/>
  <c r="AT18" i="11"/>
  <c r="AU18" i="11"/>
  <c r="AT7" i="14"/>
  <c r="AU7" i="14"/>
  <c r="AV7" i="14"/>
  <c r="AT17" i="6"/>
  <c r="AS17" i="6"/>
  <c r="AU17" i="6"/>
  <c r="AT21" i="6"/>
  <c r="AS21" i="6"/>
  <c r="AU21" i="6"/>
  <c r="AT26" i="11"/>
  <c r="AU26" i="11"/>
  <c r="AS26" i="11"/>
  <c r="AV17" i="14"/>
  <c r="AU17" i="14"/>
  <c r="AT17" i="14"/>
  <c r="AU20" i="14"/>
  <c r="AV20" i="14"/>
  <c r="AT20" i="14"/>
  <c r="AT16" i="6"/>
  <c r="AU16" i="6"/>
  <c r="AS16" i="6"/>
  <c r="AU21" i="11"/>
  <c r="AS21" i="11"/>
  <c r="AT21" i="11"/>
  <c r="AT7" i="6"/>
  <c r="AS7" i="6"/>
  <c r="AU7" i="6"/>
  <c r="AU22" i="6"/>
  <c r="AT22" i="6"/>
  <c r="AS22" i="6"/>
  <c r="AT11" i="11"/>
  <c r="AU11" i="11"/>
  <c r="AS11" i="11"/>
  <c r="AV18" i="14"/>
  <c r="AU18" i="14"/>
  <c r="AT18" i="14"/>
  <c r="AU24" i="6"/>
  <c r="AS24" i="6"/>
  <c r="AT24" i="6"/>
  <c r="AU25" i="6"/>
  <c r="AS25" i="6"/>
  <c r="AT25" i="6"/>
  <c r="AU26" i="6"/>
  <c r="AT26" i="6"/>
  <c r="AS26" i="6"/>
  <c r="AS14" i="11"/>
  <c r="AU14" i="11"/>
  <c r="AT14" i="11"/>
  <c r="AT11" i="6"/>
  <c r="AU11" i="6"/>
  <c r="AS11" i="6"/>
  <c r="AS15" i="6"/>
  <c r="AT15" i="6"/>
  <c r="AU15" i="6"/>
  <c r="AU19" i="11"/>
  <c r="AS19" i="11"/>
  <c r="AT19" i="11"/>
  <c r="AT8" i="14"/>
  <c r="AU8" i="14"/>
  <c r="AV8" i="14"/>
  <c r="AT26" i="14"/>
  <c r="AU26" i="14"/>
  <c r="AV26" i="14"/>
  <c r="AS20" i="11"/>
  <c r="AU20" i="11"/>
  <c r="AT20" i="11"/>
  <c r="AV9" i="14"/>
  <c r="AT9" i="14"/>
  <c r="AU9" i="14"/>
  <c r="AU10" i="11"/>
  <c r="AT10" i="11"/>
  <c r="AS10" i="11"/>
  <c r="AT9" i="6"/>
  <c r="AS9" i="6"/>
  <c r="AU9" i="6"/>
  <c r="AT12" i="11"/>
  <c r="AU12" i="11"/>
  <c r="AS12" i="11"/>
  <c r="AV19" i="14"/>
  <c r="AT19" i="14"/>
  <c r="AU19" i="14"/>
  <c r="AS14" i="6"/>
  <c r="AT14" i="6"/>
  <c r="AU14" i="6"/>
  <c r="AS13" i="11"/>
  <c r="AT13" i="11"/>
  <c r="AU13" i="11"/>
  <c r="AT8" i="6"/>
  <c r="AU8" i="6"/>
  <c r="AS8" i="6"/>
  <c r="AV21" i="14"/>
  <c r="AU21" i="14"/>
  <c r="AT21" i="14"/>
  <c r="AT10" i="6"/>
  <c r="AU10" i="6"/>
  <c r="AS10" i="6"/>
  <c r="AT15" i="11"/>
  <c r="AS15" i="11"/>
  <c r="AU15" i="11"/>
  <c r="AT22" i="14"/>
  <c r="AV22" i="14"/>
  <c r="AU22" i="14"/>
  <c r="AN6" i="14"/>
  <c r="AN5" i="14" s="1"/>
  <c r="AM5" i="14"/>
  <c r="AM5" i="13"/>
  <c r="AN6" i="12"/>
  <c r="AN5" i="12" s="1"/>
  <c r="AM5" i="12"/>
  <c r="AM5" i="11"/>
  <c r="AN6" i="10"/>
  <c r="AN5" i="10" s="1"/>
  <c r="AM5" i="10"/>
  <c r="AN6" i="9"/>
  <c r="AN5" i="9" s="1"/>
  <c r="AM5" i="9"/>
  <c r="AL26" i="8"/>
  <c r="AL25" i="8"/>
  <c r="AL24" i="8"/>
  <c r="AL23" i="8"/>
  <c r="AL22" i="8"/>
  <c r="AL21" i="8"/>
  <c r="AL20" i="8"/>
  <c r="AL18" i="8"/>
  <c r="AL17" i="8"/>
  <c r="AL16" i="8"/>
  <c r="AL15" i="8"/>
  <c r="AL14" i="8"/>
  <c r="AL13" i="8"/>
  <c r="AL19" i="8"/>
  <c r="AL12" i="8"/>
  <c r="AL10" i="8"/>
  <c r="AL11" i="8"/>
  <c r="AL9" i="8"/>
  <c r="AL8" i="8"/>
  <c r="AL7" i="8"/>
  <c r="AM5" i="8"/>
  <c r="AN6" i="7"/>
  <c r="AN5" i="7" s="1"/>
  <c r="AM5" i="7"/>
  <c r="AL5" i="6"/>
  <c r="AN6" i="5"/>
  <c r="AN5" i="5" s="1"/>
  <c r="AM5" i="5"/>
  <c r="AN6" i="4"/>
  <c r="AN5" i="4" s="1"/>
  <c r="AM5" i="4"/>
  <c r="AI8" i="1"/>
  <c r="AI10" i="1"/>
  <c r="AI12" i="1"/>
  <c r="AI9" i="1"/>
  <c r="AI14" i="1"/>
  <c r="AI11" i="1"/>
  <c r="AI13" i="1"/>
  <c r="AI15" i="1"/>
  <c r="AI17" i="1"/>
  <c r="AI19" i="1"/>
  <c r="AI18" i="1"/>
  <c r="AI20" i="1"/>
  <c r="AI22" i="1"/>
  <c r="AI16" i="1"/>
  <c r="AI21" i="1"/>
  <c r="AI23" i="1"/>
  <c r="AI25" i="1"/>
  <c r="AI26" i="1"/>
  <c r="AI7" i="1"/>
  <c r="AI24" i="1"/>
  <c r="AJ5" i="1"/>
  <c r="AK6" i="1"/>
  <c r="AU11" i="1" l="1"/>
  <c r="AT11" i="1"/>
  <c r="AV11" i="1"/>
  <c r="AS26" i="8"/>
  <c r="AU26" i="8"/>
  <c r="AT26" i="8"/>
  <c r="AV12" i="1"/>
  <c r="AU12" i="1"/>
  <c r="AT12" i="1"/>
  <c r="AV22" i="1"/>
  <c r="AU22" i="1"/>
  <c r="AT22" i="1"/>
  <c r="AT17" i="8"/>
  <c r="AU17" i="8"/>
  <c r="AS17" i="8"/>
  <c r="AU7" i="1"/>
  <c r="AT7" i="1"/>
  <c r="AV7" i="1"/>
  <c r="AU26" i="1"/>
  <c r="AT26" i="1"/>
  <c r="AV26" i="1"/>
  <c r="AV25" i="1"/>
  <c r="AU25" i="1"/>
  <c r="AT25" i="1"/>
  <c r="AT8" i="1"/>
  <c r="AV8" i="1"/>
  <c r="AU8" i="1"/>
  <c r="AS13" i="8"/>
  <c r="AU13" i="8"/>
  <c r="AT13" i="8"/>
  <c r="AT21" i="1"/>
  <c r="AV21" i="1"/>
  <c r="AU21" i="1"/>
  <c r="AU18" i="8"/>
  <c r="AS18" i="8"/>
  <c r="AT18" i="8"/>
  <c r="AU18" i="1"/>
  <c r="AT18" i="1"/>
  <c r="AV18" i="1"/>
  <c r="AT20" i="8"/>
  <c r="AS20" i="8"/>
  <c r="AU20" i="8"/>
  <c r="AT25" i="8"/>
  <c r="AS25" i="8"/>
  <c r="AU25" i="8"/>
  <c r="AT11" i="8"/>
  <c r="AU11" i="8"/>
  <c r="AS11" i="8"/>
  <c r="AT12" i="8"/>
  <c r="AS12" i="8"/>
  <c r="AU12" i="8"/>
  <c r="AS22" i="8"/>
  <c r="AT22" i="8"/>
  <c r="AU22" i="8"/>
  <c r="AU14" i="1"/>
  <c r="AV14" i="1"/>
  <c r="AT14" i="1"/>
  <c r="I7" i="9"/>
  <c r="AU10" i="1"/>
  <c r="AV10" i="1"/>
  <c r="AT10" i="1"/>
  <c r="AV23" i="1"/>
  <c r="AU23" i="1"/>
  <c r="AT23" i="1"/>
  <c r="AS14" i="8"/>
  <c r="AU14" i="8"/>
  <c r="AT14" i="8"/>
  <c r="AU15" i="8"/>
  <c r="AS15" i="8"/>
  <c r="AT15" i="8"/>
  <c r="AT16" i="8"/>
  <c r="AS16" i="8"/>
  <c r="AU16" i="8"/>
  <c r="AU17" i="1"/>
  <c r="AT17" i="1"/>
  <c r="AV17" i="1"/>
  <c r="AT15" i="1"/>
  <c r="AV15" i="1"/>
  <c r="AU15" i="1"/>
  <c r="AT7" i="8"/>
  <c r="AS7" i="8"/>
  <c r="AU7" i="8"/>
  <c r="AT23" i="8"/>
  <c r="AS23" i="8"/>
  <c r="AU23" i="8"/>
  <c r="AT9" i="8"/>
  <c r="AS9" i="8"/>
  <c r="AU9" i="8"/>
  <c r="AU24" i="1"/>
  <c r="AV24" i="1"/>
  <c r="AT24" i="1"/>
  <c r="AT9" i="1"/>
  <c r="AV9" i="1"/>
  <c r="AU9" i="1"/>
  <c r="AT10" i="8"/>
  <c r="AU10" i="8"/>
  <c r="AS10" i="8"/>
  <c r="AS19" i="8"/>
  <c r="AU19" i="8"/>
  <c r="AT19" i="8"/>
  <c r="AU16" i="1"/>
  <c r="AV16" i="1"/>
  <c r="AT16" i="1"/>
  <c r="AV20" i="1"/>
  <c r="AU20" i="1"/>
  <c r="AT20" i="1"/>
  <c r="AT19" i="1"/>
  <c r="AV19" i="1"/>
  <c r="AU19" i="1"/>
  <c r="AT21" i="8"/>
  <c r="AS21" i="8"/>
  <c r="AU21" i="8"/>
  <c r="AT13" i="1"/>
  <c r="AU13" i="1"/>
  <c r="AV13" i="1"/>
  <c r="AS8" i="8"/>
  <c r="AT8" i="8"/>
  <c r="AU8" i="8"/>
  <c r="AU24" i="8"/>
  <c r="AT24" i="8"/>
  <c r="AS24" i="8"/>
  <c r="I8" i="13"/>
  <c r="AV8" i="13" s="1"/>
  <c r="I14" i="13"/>
  <c r="AV14" i="13" s="1"/>
  <c r="I19" i="13"/>
  <c r="AV19" i="13" s="1"/>
  <c r="I17" i="13"/>
  <c r="AV17" i="13" s="1"/>
  <c r="I22" i="13"/>
  <c r="AV22" i="13" s="1"/>
  <c r="I20" i="13"/>
  <c r="AV20" i="13" s="1"/>
  <c r="I25" i="13"/>
  <c r="AV25" i="13" s="1"/>
  <c r="I12" i="13"/>
  <c r="AV12" i="13" s="1"/>
  <c r="I21" i="13"/>
  <c r="AV21" i="13" s="1"/>
  <c r="I23" i="13"/>
  <c r="AV23" i="13" s="1"/>
  <c r="I10" i="13"/>
  <c r="AV10" i="13" s="1"/>
  <c r="I9" i="13"/>
  <c r="AV9" i="13" s="1"/>
  <c r="I11" i="13"/>
  <c r="AV11" i="13" s="1"/>
  <c r="I24" i="13"/>
  <c r="AV24" i="13" s="1"/>
  <c r="I26" i="13"/>
  <c r="AV26" i="13" s="1"/>
  <c r="I18" i="13"/>
  <c r="AV18" i="13" s="1"/>
  <c r="I16" i="13"/>
  <c r="AV16" i="13" s="1"/>
  <c r="I15" i="13"/>
  <c r="AV15" i="13" s="1"/>
  <c r="I13" i="13"/>
  <c r="AV13" i="13" s="1"/>
  <c r="I7" i="13"/>
  <c r="AV7" i="13" s="1"/>
  <c r="AM8" i="13"/>
  <c r="AM9" i="13"/>
  <c r="AM10" i="13"/>
  <c r="AM11" i="13"/>
  <c r="AM12" i="13"/>
  <c r="AM13" i="13"/>
  <c r="AM14" i="13"/>
  <c r="AM15" i="13"/>
  <c r="AM16" i="13"/>
  <c r="AM17" i="13"/>
  <c r="AM18" i="13"/>
  <c r="AM19" i="13"/>
  <c r="AM20" i="13"/>
  <c r="AM21" i="13"/>
  <c r="AM22" i="13"/>
  <c r="AM23" i="13"/>
  <c r="AM24" i="13"/>
  <c r="AM25" i="13"/>
  <c r="AM26" i="13"/>
  <c r="I12" i="14"/>
  <c r="AW12" i="14" s="1"/>
  <c r="I8" i="14"/>
  <c r="AW8" i="14" s="1"/>
  <c r="I10" i="14"/>
  <c r="AW10" i="14" s="1"/>
  <c r="I15" i="14"/>
  <c r="AW15" i="14" s="1"/>
  <c r="I17" i="14"/>
  <c r="AW17" i="14" s="1"/>
  <c r="I20" i="14"/>
  <c r="AW20" i="14" s="1"/>
  <c r="I22" i="14"/>
  <c r="AW22" i="14" s="1"/>
  <c r="I9" i="14"/>
  <c r="AW9" i="14" s="1"/>
  <c r="I24" i="14"/>
  <c r="AW24" i="14" s="1"/>
  <c r="I26" i="14"/>
  <c r="AW26" i="14" s="1"/>
  <c r="I11" i="14"/>
  <c r="AW11" i="14" s="1"/>
  <c r="I7" i="14"/>
  <c r="AW7" i="14" s="1"/>
  <c r="I13" i="14"/>
  <c r="AW13" i="14" s="1"/>
  <c r="I16" i="14"/>
  <c r="AW16" i="14" s="1"/>
  <c r="I14" i="14"/>
  <c r="AW14" i="14" s="1"/>
  <c r="I18" i="14"/>
  <c r="AW18" i="14" s="1"/>
  <c r="I19" i="14"/>
  <c r="AW19" i="14" s="1"/>
  <c r="I21" i="14"/>
  <c r="AW21" i="14" s="1"/>
  <c r="I23" i="14"/>
  <c r="AW23" i="14" s="1"/>
  <c r="I25" i="14"/>
  <c r="AW25" i="14" s="1"/>
  <c r="AM7" i="13"/>
  <c r="I20" i="12"/>
  <c r="AW20" i="12" s="1"/>
  <c r="I12" i="12"/>
  <c r="AW12" i="12" s="1"/>
  <c r="I9" i="12"/>
  <c r="AW9" i="12" s="1"/>
  <c r="I13" i="12"/>
  <c r="AW13" i="12" s="1"/>
  <c r="I25" i="12"/>
  <c r="AW25" i="12" s="1"/>
  <c r="I23" i="12"/>
  <c r="AW23" i="12" s="1"/>
  <c r="I18" i="12"/>
  <c r="AW18" i="12" s="1"/>
  <c r="I11" i="12"/>
  <c r="AW11" i="12" s="1"/>
  <c r="I22" i="12"/>
  <c r="AW22" i="12" s="1"/>
  <c r="I17" i="12"/>
  <c r="AW17" i="12" s="1"/>
  <c r="I10" i="12"/>
  <c r="AW10" i="12" s="1"/>
  <c r="I7" i="12"/>
  <c r="AW7" i="12" s="1"/>
  <c r="I21" i="12"/>
  <c r="AW21" i="12" s="1"/>
  <c r="I15" i="12"/>
  <c r="AW15" i="12" s="1"/>
  <c r="I19" i="12"/>
  <c r="AW19" i="12" s="1"/>
  <c r="I26" i="12"/>
  <c r="AW26" i="12" s="1"/>
  <c r="I16" i="12"/>
  <c r="AW16" i="12" s="1"/>
  <c r="I8" i="12"/>
  <c r="AW8" i="12" s="1"/>
  <c r="I24" i="12"/>
  <c r="AW24" i="12" s="1"/>
  <c r="I14" i="12"/>
  <c r="AW14" i="12" s="1"/>
  <c r="I17" i="11"/>
  <c r="AV17" i="11" s="1"/>
  <c r="I12" i="11"/>
  <c r="AV12" i="11" s="1"/>
  <c r="I20" i="11"/>
  <c r="AV20" i="11" s="1"/>
  <c r="I7" i="11"/>
  <c r="AV7" i="11" s="1"/>
  <c r="I9" i="11"/>
  <c r="AV9" i="11" s="1"/>
  <c r="I18" i="11"/>
  <c r="AV18" i="11" s="1"/>
  <c r="I22" i="11"/>
  <c r="AV22" i="11" s="1"/>
  <c r="I23" i="11"/>
  <c r="AV23" i="11" s="1"/>
  <c r="I16" i="11"/>
  <c r="AV16" i="11" s="1"/>
  <c r="I13" i="11"/>
  <c r="AV13" i="11" s="1"/>
  <c r="I15" i="11"/>
  <c r="AV15" i="11" s="1"/>
  <c r="I14" i="11"/>
  <c r="AV14" i="11" s="1"/>
  <c r="I24" i="11"/>
  <c r="AV24" i="11" s="1"/>
  <c r="I26" i="11"/>
  <c r="AV26" i="11" s="1"/>
  <c r="I11" i="11"/>
  <c r="AV11" i="11" s="1"/>
  <c r="I25" i="11"/>
  <c r="AV25" i="11" s="1"/>
  <c r="I8" i="11"/>
  <c r="AV8" i="11" s="1"/>
  <c r="I21" i="11"/>
  <c r="AV21" i="11" s="1"/>
  <c r="I19" i="11"/>
  <c r="AV19" i="11" s="1"/>
  <c r="I10" i="11"/>
  <c r="AV10" i="11" s="1"/>
  <c r="AN26" i="10"/>
  <c r="AN25" i="10"/>
  <c r="AN24" i="10"/>
  <c r="AN22" i="10"/>
  <c r="AN21" i="10"/>
  <c r="AN20" i="10"/>
  <c r="AN23" i="10"/>
  <c r="AN19" i="10"/>
  <c r="AN17" i="10"/>
  <c r="AN16" i="10"/>
  <c r="AN15" i="10"/>
  <c r="AN14" i="10"/>
  <c r="AN13" i="10"/>
  <c r="AN18" i="10"/>
  <c r="AN11" i="10"/>
  <c r="AN9" i="10"/>
  <c r="AN8" i="10"/>
  <c r="AN7" i="10"/>
  <c r="AN12" i="10"/>
  <c r="AN10" i="10"/>
  <c r="I23" i="10"/>
  <c r="AW23" i="10" s="1"/>
  <c r="I11" i="10"/>
  <c r="AW11" i="10" s="1"/>
  <c r="I25" i="10"/>
  <c r="AW25" i="10" s="1"/>
  <c r="I17" i="10"/>
  <c r="AW17" i="10" s="1"/>
  <c r="I15" i="10"/>
  <c r="AW15" i="10" s="1"/>
  <c r="I18" i="10"/>
  <c r="AW18" i="10" s="1"/>
  <c r="I20" i="10"/>
  <c r="AW20" i="10" s="1"/>
  <c r="I8" i="10"/>
  <c r="AW8" i="10" s="1"/>
  <c r="I14" i="10"/>
  <c r="AW14" i="10" s="1"/>
  <c r="I9" i="10"/>
  <c r="AW9" i="10" s="1"/>
  <c r="I22" i="10"/>
  <c r="AW22" i="10" s="1"/>
  <c r="I13" i="10"/>
  <c r="AW13" i="10" s="1"/>
  <c r="I7" i="10"/>
  <c r="AW7" i="10" s="1"/>
  <c r="I21" i="10"/>
  <c r="AW21" i="10" s="1"/>
  <c r="I19" i="10"/>
  <c r="AW19" i="10" s="1"/>
  <c r="I26" i="10"/>
  <c r="AW26" i="10" s="1"/>
  <c r="I24" i="10"/>
  <c r="AW24" i="10" s="1"/>
  <c r="I12" i="10"/>
  <c r="AW12" i="10" s="1"/>
  <c r="I10" i="10"/>
  <c r="AW10" i="10" s="1"/>
  <c r="I16" i="10"/>
  <c r="AW16" i="10" s="1"/>
  <c r="I10" i="9"/>
  <c r="AW10" i="9" s="1"/>
  <c r="I8" i="9"/>
  <c r="AW8" i="9" s="1"/>
  <c r="I24" i="9"/>
  <c r="AW24" i="9" s="1"/>
  <c r="I15" i="9"/>
  <c r="AW15" i="9" s="1"/>
  <c r="I14" i="9"/>
  <c r="AW14" i="9" s="1"/>
  <c r="I16" i="9"/>
  <c r="AW16" i="9" s="1"/>
  <c r="I20" i="9"/>
  <c r="AW20" i="9" s="1"/>
  <c r="I17" i="9"/>
  <c r="AW17" i="9" s="1"/>
  <c r="I11" i="9"/>
  <c r="AW11" i="9" s="1"/>
  <c r="I18" i="9"/>
  <c r="AW18" i="9" s="1"/>
  <c r="AW7" i="9"/>
  <c r="I13" i="9"/>
  <c r="AW13" i="9" s="1"/>
  <c r="I12" i="9"/>
  <c r="AW12" i="9" s="1"/>
  <c r="I22" i="9"/>
  <c r="AW22" i="9" s="1"/>
  <c r="I21" i="9"/>
  <c r="AW21" i="9" s="1"/>
  <c r="I25" i="9"/>
  <c r="AW25" i="9" s="1"/>
  <c r="I9" i="9"/>
  <c r="AW9" i="9" s="1"/>
  <c r="I19" i="9"/>
  <c r="AW19" i="9" s="1"/>
  <c r="I26" i="9"/>
  <c r="AW26" i="9" s="1"/>
  <c r="I23" i="9"/>
  <c r="AW23" i="9" s="1"/>
  <c r="I11" i="8"/>
  <c r="AV11" i="8" s="1"/>
  <c r="I26" i="8"/>
  <c r="AV26" i="8" s="1"/>
  <c r="I8" i="8"/>
  <c r="AV8" i="8" s="1"/>
  <c r="I20" i="8"/>
  <c r="AV20" i="8" s="1"/>
  <c r="I23" i="8"/>
  <c r="AV23" i="8" s="1"/>
  <c r="I25" i="8"/>
  <c r="AV25" i="8" s="1"/>
  <c r="I19" i="8"/>
  <c r="AV19" i="8" s="1"/>
  <c r="I24" i="8"/>
  <c r="AV24" i="8" s="1"/>
  <c r="I9" i="8"/>
  <c r="AV9" i="8" s="1"/>
  <c r="I15" i="8"/>
  <c r="AV15" i="8" s="1"/>
  <c r="I7" i="8"/>
  <c r="AV7" i="8" s="1"/>
  <c r="I17" i="8"/>
  <c r="AV17" i="8" s="1"/>
  <c r="I13" i="8"/>
  <c r="AV13" i="8" s="1"/>
  <c r="I16" i="8"/>
  <c r="AV16" i="8" s="1"/>
  <c r="I12" i="8"/>
  <c r="AV12" i="8" s="1"/>
  <c r="I18" i="8"/>
  <c r="AV18" i="8" s="1"/>
  <c r="I14" i="8"/>
  <c r="AV14" i="8" s="1"/>
  <c r="I21" i="8"/>
  <c r="AV21" i="8" s="1"/>
  <c r="I10" i="8"/>
  <c r="AV10" i="8" s="1"/>
  <c r="I22" i="8"/>
  <c r="AV22" i="8" s="1"/>
  <c r="I10" i="7"/>
  <c r="AW10" i="7" s="1"/>
  <c r="I21" i="7"/>
  <c r="AW21" i="7" s="1"/>
  <c r="I15" i="7"/>
  <c r="AW15" i="7" s="1"/>
  <c r="I24" i="7"/>
  <c r="AW24" i="7" s="1"/>
  <c r="I17" i="7"/>
  <c r="AW17" i="7" s="1"/>
  <c r="I26" i="7"/>
  <c r="AW26" i="7" s="1"/>
  <c r="I8" i="7"/>
  <c r="AW8" i="7" s="1"/>
  <c r="I23" i="7"/>
  <c r="AW23" i="7" s="1"/>
  <c r="I25" i="7"/>
  <c r="AW25" i="7" s="1"/>
  <c r="I22" i="7"/>
  <c r="AW22" i="7" s="1"/>
  <c r="I19" i="7"/>
  <c r="AW19" i="7" s="1"/>
  <c r="I13" i="7"/>
  <c r="AW13" i="7" s="1"/>
  <c r="I7" i="7"/>
  <c r="AW7" i="7" s="1"/>
  <c r="I16" i="7"/>
  <c r="AW16" i="7" s="1"/>
  <c r="I18" i="7"/>
  <c r="AW18" i="7" s="1"/>
  <c r="I11" i="7"/>
  <c r="AW11" i="7" s="1"/>
  <c r="I20" i="7"/>
  <c r="AW20" i="7" s="1"/>
  <c r="I14" i="7"/>
  <c r="AW14" i="7" s="1"/>
  <c r="I9" i="7"/>
  <c r="AW9" i="7" s="1"/>
  <c r="I12" i="7"/>
  <c r="AW12" i="7" s="1"/>
  <c r="AM5" i="6"/>
  <c r="AM26" i="5"/>
  <c r="AM25" i="5"/>
  <c r="AM24" i="5"/>
  <c r="AM23" i="5"/>
  <c r="AM22" i="5"/>
  <c r="AM21" i="5"/>
  <c r="AM20" i="5"/>
  <c r="AM19" i="5"/>
  <c r="AM18" i="5"/>
  <c r="AM17" i="5"/>
  <c r="AM16" i="5"/>
  <c r="AM15" i="5"/>
  <c r="AM14" i="5"/>
  <c r="AM13" i="5"/>
  <c r="AM12" i="5"/>
  <c r="AM11" i="5"/>
  <c r="AM10" i="5"/>
  <c r="AM9" i="5"/>
  <c r="AM8" i="5"/>
  <c r="AM7" i="5"/>
  <c r="I14" i="5"/>
  <c r="AW14" i="5" s="1"/>
  <c r="I9" i="5"/>
  <c r="AW9" i="5" s="1"/>
  <c r="I20" i="5"/>
  <c r="AW20" i="5" s="1"/>
  <c r="I15" i="5"/>
  <c r="AW15" i="5" s="1"/>
  <c r="I23" i="5"/>
  <c r="AW23" i="5" s="1"/>
  <c r="I17" i="5"/>
  <c r="AW17" i="5" s="1"/>
  <c r="I8" i="5"/>
  <c r="AW8" i="5" s="1"/>
  <c r="I7" i="5"/>
  <c r="AW7" i="5" s="1"/>
  <c r="I25" i="5"/>
  <c r="AW25" i="5" s="1"/>
  <c r="I12" i="5"/>
  <c r="AW12" i="5" s="1"/>
  <c r="I19" i="5"/>
  <c r="AW19" i="5" s="1"/>
  <c r="I21" i="5"/>
  <c r="AW21" i="5" s="1"/>
  <c r="I22" i="5"/>
  <c r="AW22" i="5" s="1"/>
  <c r="I13" i="5"/>
  <c r="AW13" i="5" s="1"/>
  <c r="I10" i="5"/>
  <c r="AW10" i="5" s="1"/>
  <c r="I16" i="5"/>
  <c r="AW16" i="5" s="1"/>
  <c r="I26" i="5"/>
  <c r="AW26" i="5" s="1"/>
  <c r="I18" i="5"/>
  <c r="AW18" i="5" s="1"/>
  <c r="I24" i="5"/>
  <c r="AW24" i="5" s="1"/>
  <c r="I11" i="5"/>
  <c r="AW11" i="5" s="1"/>
  <c r="I11" i="4"/>
  <c r="AW11" i="4" s="1"/>
  <c r="I12" i="4"/>
  <c r="AW12" i="4" s="1"/>
  <c r="I21" i="4"/>
  <c r="AW21" i="4" s="1"/>
  <c r="I13" i="4"/>
  <c r="AW13" i="4" s="1"/>
  <c r="I16" i="4"/>
  <c r="AW16" i="4" s="1"/>
  <c r="I8" i="4"/>
  <c r="AW8" i="4" s="1"/>
  <c r="I23" i="4"/>
  <c r="AW23" i="4" s="1"/>
  <c r="I26" i="4"/>
  <c r="AW26" i="4" s="1"/>
  <c r="I25" i="4"/>
  <c r="AW25" i="4" s="1"/>
  <c r="I9" i="4"/>
  <c r="AW9" i="4" s="1"/>
  <c r="I22" i="4"/>
  <c r="AW22" i="4" s="1"/>
  <c r="I15" i="4"/>
  <c r="AW15" i="4" s="1"/>
  <c r="I14" i="4"/>
  <c r="AW14" i="4" s="1"/>
  <c r="I10" i="4"/>
  <c r="AW10" i="4" s="1"/>
  <c r="I19" i="4"/>
  <c r="AW19" i="4" s="1"/>
  <c r="I20" i="4"/>
  <c r="AW20" i="4" s="1"/>
  <c r="I18" i="4"/>
  <c r="AW18" i="4" s="1"/>
  <c r="I17" i="4"/>
  <c r="AW17" i="4" s="1"/>
  <c r="I24" i="4"/>
  <c r="AW24" i="4" s="1"/>
  <c r="I7" i="4"/>
  <c r="AW7" i="4" s="1"/>
  <c r="AK5" i="1"/>
  <c r="AL6" i="1"/>
  <c r="AM6" i="1" s="1"/>
  <c r="AT12" i="10" l="1"/>
  <c r="AV12" i="10"/>
  <c r="AU12" i="10"/>
  <c r="AV24" i="10"/>
  <c r="AU24" i="10"/>
  <c r="AT24" i="10"/>
  <c r="AV7" i="10"/>
  <c r="AU7" i="10"/>
  <c r="AT7" i="10"/>
  <c r="AU8" i="10"/>
  <c r="AT8" i="10"/>
  <c r="AV8" i="10"/>
  <c r="AV11" i="10"/>
  <c r="AU11" i="10"/>
  <c r="AT11" i="10"/>
  <c r="AU13" i="10"/>
  <c r="AV13" i="10"/>
  <c r="AT13" i="10"/>
  <c r="AV20" i="5"/>
  <c r="AU20" i="5"/>
  <c r="AT20" i="5"/>
  <c r="AT19" i="13"/>
  <c r="AU19" i="13"/>
  <c r="AS19" i="13"/>
  <c r="AU22" i="5"/>
  <c r="AT22" i="5"/>
  <c r="AV22" i="5"/>
  <c r="AU16" i="10"/>
  <c r="AT16" i="10"/>
  <c r="AV16" i="10"/>
  <c r="AU17" i="13"/>
  <c r="AT17" i="13"/>
  <c r="AS17" i="13"/>
  <c r="AU26" i="13"/>
  <c r="AS26" i="13"/>
  <c r="AT26" i="13"/>
  <c r="AT10" i="13"/>
  <c r="AU10" i="13"/>
  <c r="AS10" i="13"/>
  <c r="AV14" i="5"/>
  <c r="AT14" i="5"/>
  <c r="AU14" i="5"/>
  <c r="AU9" i="10"/>
  <c r="AT9" i="10"/>
  <c r="AV9" i="10"/>
  <c r="AT23" i="13"/>
  <c r="AU23" i="13"/>
  <c r="AS23" i="13"/>
  <c r="AT16" i="13"/>
  <c r="AU16" i="13"/>
  <c r="AS16" i="13"/>
  <c r="AT8" i="5"/>
  <c r="AV8" i="5"/>
  <c r="AU8" i="5"/>
  <c r="AT24" i="5"/>
  <c r="AU24" i="5"/>
  <c r="AV24" i="5"/>
  <c r="AU19" i="10"/>
  <c r="AV19" i="10"/>
  <c r="AT19" i="10"/>
  <c r="AS7" i="13"/>
  <c r="AT7" i="13"/>
  <c r="AU7" i="13"/>
  <c r="AT15" i="13"/>
  <c r="AU15" i="13"/>
  <c r="AS15" i="13"/>
  <c r="AU25" i="13"/>
  <c r="AT25" i="13"/>
  <c r="AS25" i="13"/>
  <c r="AT8" i="13"/>
  <c r="AS8" i="13"/>
  <c r="AU8" i="13"/>
  <c r="AV16" i="5"/>
  <c r="AU16" i="5"/>
  <c r="AT16" i="5"/>
  <c r="AU17" i="5"/>
  <c r="AT17" i="5"/>
  <c r="AV17" i="5"/>
  <c r="AS22" i="13"/>
  <c r="AU22" i="13"/>
  <c r="AT22" i="13"/>
  <c r="AU18" i="10"/>
  <c r="AT18" i="10"/>
  <c r="AV18" i="10"/>
  <c r="AV21" i="5"/>
  <c r="AU21" i="5"/>
  <c r="AT21" i="5"/>
  <c r="AT7" i="5"/>
  <c r="AU7" i="5"/>
  <c r="AV7" i="5"/>
  <c r="AU23" i="10"/>
  <c r="AT23" i="10"/>
  <c r="AV23" i="10"/>
  <c r="AT14" i="13"/>
  <c r="AS14" i="13"/>
  <c r="AU14" i="13"/>
  <c r="AV10" i="5"/>
  <c r="AT10" i="5"/>
  <c r="AU10" i="5"/>
  <c r="AV26" i="5"/>
  <c r="AT26" i="5"/>
  <c r="AU26" i="5"/>
  <c r="AT20" i="10"/>
  <c r="AV20" i="10"/>
  <c r="AU20" i="10"/>
  <c r="AT13" i="13"/>
  <c r="AS13" i="13"/>
  <c r="AU13" i="13"/>
  <c r="AT25" i="10"/>
  <c r="AU25" i="10"/>
  <c r="AV25" i="10"/>
  <c r="AS24" i="13"/>
  <c r="AT24" i="13"/>
  <c r="AU24" i="13"/>
  <c r="AT15" i="10"/>
  <c r="AV15" i="10"/>
  <c r="AU15" i="10"/>
  <c r="AU18" i="13"/>
  <c r="AS18" i="13"/>
  <c r="AT18" i="13"/>
  <c r="AU17" i="10"/>
  <c r="AT17" i="10"/>
  <c r="AV17" i="10"/>
  <c r="AT25" i="5"/>
  <c r="AU25" i="5"/>
  <c r="AV25" i="5"/>
  <c r="AU21" i="10"/>
  <c r="AT21" i="10"/>
  <c r="AV21" i="10"/>
  <c r="AS12" i="13"/>
  <c r="AT12" i="13"/>
  <c r="AU12" i="13"/>
  <c r="AT13" i="5"/>
  <c r="AU13" i="5"/>
  <c r="AV13" i="5"/>
  <c r="AT9" i="13"/>
  <c r="AS9" i="13"/>
  <c r="AU9" i="13"/>
  <c r="AV15" i="5"/>
  <c r="AT15" i="5"/>
  <c r="AU15" i="5"/>
  <c r="AU26" i="10"/>
  <c r="AT26" i="10"/>
  <c r="AV26" i="10"/>
  <c r="AT18" i="5"/>
  <c r="AU18" i="5"/>
  <c r="AV18" i="5"/>
  <c r="AS21" i="13"/>
  <c r="AU21" i="13"/>
  <c r="AT21" i="13"/>
  <c r="AT19" i="5"/>
  <c r="AV19" i="5"/>
  <c r="AU19" i="5"/>
  <c r="AT20" i="13"/>
  <c r="AS20" i="13"/>
  <c r="AU20" i="13"/>
  <c r="AV14" i="10"/>
  <c r="AT14" i="10"/>
  <c r="AU14" i="10"/>
  <c r="AT23" i="5"/>
  <c r="AV23" i="5"/>
  <c r="AU23" i="5"/>
  <c r="AV9" i="5"/>
  <c r="AT9" i="5"/>
  <c r="AU9" i="5"/>
  <c r="AT11" i="5"/>
  <c r="AU11" i="5"/>
  <c r="AV11" i="5"/>
  <c r="AT12" i="5"/>
  <c r="AV12" i="5"/>
  <c r="AU12" i="5"/>
  <c r="AU10" i="10"/>
  <c r="AT10" i="10"/>
  <c r="AV10" i="10"/>
  <c r="AT22" i="10"/>
  <c r="AV22" i="10"/>
  <c r="AU22" i="10"/>
  <c r="AS11" i="13"/>
  <c r="AU11" i="13"/>
  <c r="AT11" i="13"/>
  <c r="I20" i="6"/>
  <c r="AV20" i="6" s="1"/>
  <c r="I10" i="6"/>
  <c r="AV10" i="6" s="1"/>
  <c r="I22" i="6"/>
  <c r="AV22" i="6" s="1"/>
  <c r="I14" i="6"/>
  <c r="AV14" i="6" s="1"/>
  <c r="I16" i="6"/>
  <c r="AV16" i="6" s="1"/>
  <c r="I26" i="6"/>
  <c r="AV26" i="6" s="1"/>
  <c r="I19" i="6"/>
  <c r="AV19" i="6" s="1"/>
  <c r="I23" i="6"/>
  <c r="AV23" i="6" s="1"/>
  <c r="I12" i="6"/>
  <c r="AV12" i="6" s="1"/>
  <c r="I18" i="6"/>
  <c r="AV18" i="6" s="1"/>
  <c r="I15" i="6"/>
  <c r="AV15" i="6" s="1"/>
  <c r="I25" i="6"/>
  <c r="AV25" i="6" s="1"/>
  <c r="I7" i="6"/>
  <c r="AV7" i="6" s="1"/>
  <c r="I21" i="6"/>
  <c r="AV21" i="6" s="1"/>
  <c r="I24" i="6"/>
  <c r="AV24" i="6" s="1"/>
  <c r="I17" i="6"/>
  <c r="AV17" i="6" s="1"/>
  <c r="I8" i="6"/>
  <c r="AV8" i="6" s="1"/>
  <c r="I9" i="6"/>
  <c r="AV9" i="6" s="1"/>
  <c r="I13" i="6"/>
  <c r="AV13" i="6" s="1"/>
  <c r="I11" i="6"/>
  <c r="AV11" i="6" s="1"/>
  <c r="AU7" i="4"/>
  <c r="AV7" i="4"/>
  <c r="AT7" i="4"/>
  <c r="AV9" i="4"/>
  <c r="AT9" i="4"/>
  <c r="AU9" i="4"/>
  <c r="AV11" i="4"/>
  <c r="AU11" i="4"/>
  <c r="AT11" i="4"/>
  <c r="AT13" i="4"/>
  <c r="AV13" i="4"/>
  <c r="AU13" i="4"/>
  <c r="AU15" i="4"/>
  <c r="AV15" i="4"/>
  <c r="AT15" i="4"/>
  <c r="AU17" i="4"/>
  <c r="AV17" i="4"/>
  <c r="AT17" i="4"/>
  <c r="AT19" i="4"/>
  <c r="AV19" i="4"/>
  <c r="AU19" i="4"/>
  <c r="AT21" i="4"/>
  <c r="AV21" i="4"/>
  <c r="AU21" i="4"/>
  <c r="AT23" i="4"/>
  <c r="AU23" i="4"/>
  <c r="AV23" i="4"/>
  <c r="AV25" i="4"/>
  <c r="AU25" i="4"/>
  <c r="AT25" i="4"/>
  <c r="AV8" i="4"/>
  <c r="AT8" i="4"/>
  <c r="AU8" i="4"/>
  <c r="AT10" i="4"/>
  <c r="AV10" i="4"/>
  <c r="AU10" i="4"/>
  <c r="AV12" i="4"/>
  <c r="AT12" i="4"/>
  <c r="AU12" i="4"/>
  <c r="AV14" i="4"/>
  <c r="AU14" i="4"/>
  <c r="AT14" i="4"/>
  <c r="AV16" i="4"/>
  <c r="AU16" i="4"/>
  <c r="AT16" i="4"/>
  <c r="AU18" i="4"/>
  <c r="AV18" i="4"/>
  <c r="AT18" i="4"/>
  <c r="AV20" i="4"/>
  <c r="AU20" i="4"/>
  <c r="AT20" i="4"/>
  <c r="AU22" i="4"/>
  <c r="AT22" i="4"/>
  <c r="AV22" i="4"/>
  <c r="AV24" i="4"/>
  <c r="AT24" i="4"/>
  <c r="AU24" i="4"/>
  <c r="AV26" i="4"/>
  <c r="AT26" i="4"/>
  <c r="AU26" i="4"/>
  <c r="AL5" i="1"/>
  <c r="AX11" i="13" l="1"/>
  <c r="BA11" i="13"/>
  <c r="BB11" i="13" s="1"/>
  <c r="AX15" i="13"/>
  <c r="BA15" i="13"/>
  <c r="BB15" i="13" s="1"/>
  <c r="AX7" i="13"/>
  <c r="BA7" i="13"/>
  <c r="BB7" i="13" s="1"/>
  <c r="AX20" i="13"/>
  <c r="BA20" i="13"/>
  <c r="BB20" i="13" s="1"/>
  <c r="AX22" i="13"/>
  <c r="BA22" i="13"/>
  <c r="BB22" i="13" s="1"/>
  <c r="AX24" i="13"/>
  <c r="BA24" i="13"/>
  <c r="BB24" i="13" s="1"/>
  <c r="AX26" i="13"/>
  <c r="BA26" i="13"/>
  <c r="BB26" i="13" s="1"/>
  <c r="AX9" i="13"/>
  <c r="BA9" i="13"/>
  <c r="BB9" i="13" s="1"/>
  <c r="AX13" i="13"/>
  <c r="BA13" i="13"/>
  <c r="BB13" i="13" s="1"/>
  <c r="AX17" i="13"/>
  <c r="BA17" i="13"/>
  <c r="BB17" i="13" s="1"/>
  <c r="AX19" i="13"/>
  <c r="BA19" i="13"/>
  <c r="BB19" i="13" s="1"/>
  <c r="AX21" i="13"/>
  <c r="BA21" i="13"/>
  <c r="BB21" i="13" s="1"/>
  <c r="AX23" i="13"/>
  <c r="BA23" i="13"/>
  <c r="BB23" i="13" s="1"/>
  <c r="AX25" i="13"/>
  <c r="BA25" i="13"/>
  <c r="BB25" i="13" s="1"/>
  <c r="AX8" i="13"/>
  <c r="BA8" i="13"/>
  <c r="BB8" i="13" s="1"/>
  <c r="AX10" i="13"/>
  <c r="BA10" i="13"/>
  <c r="BB10" i="13" s="1"/>
  <c r="AX12" i="13"/>
  <c r="BA12" i="13"/>
  <c r="BB12" i="13" s="1"/>
  <c r="AX14" i="13"/>
  <c r="BA14" i="13"/>
  <c r="BB14" i="13" s="1"/>
  <c r="AX16" i="13"/>
  <c r="BA16" i="13"/>
  <c r="BB16" i="13" s="1"/>
  <c r="AX18" i="13"/>
  <c r="BA18" i="13"/>
  <c r="BB18" i="13" s="1"/>
  <c r="AY26" i="14"/>
  <c r="BB26" i="14"/>
  <c r="BC26" i="14" s="1"/>
  <c r="AY24" i="14"/>
  <c r="BB24" i="14"/>
  <c r="BC24" i="14" s="1"/>
  <c r="AY21" i="14"/>
  <c r="BB21" i="14"/>
  <c r="BC21" i="14" s="1"/>
  <c r="AY18" i="14"/>
  <c r="BB18" i="14"/>
  <c r="BC18" i="14" s="1"/>
  <c r="AY14" i="14"/>
  <c r="BB14" i="14"/>
  <c r="BC14" i="14" s="1"/>
  <c r="AY8" i="14"/>
  <c r="BB8" i="14"/>
  <c r="BC8" i="14" s="1"/>
  <c r="AY25" i="14"/>
  <c r="BB25" i="14"/>
  <c r="BC25" i="14" s="1"/>
  <c r="AY17" i="14"/>
  <c r="BB17" i="14"/>
  <c r="BC17" i="14" s="1"/>
  <c r="AY23" i="14"/>
  <c r="BB23" i="14"/>
  <c r="BC23" i="14" s="1"/>
  <c r="AY16" i="14"/>
  <c r="BB16" i="14"/>
  <c r="BC16" i="14" s="1"/>
  <c r="AY12" i="14"/>
  <c r="BB12" i="14"/>
  <c r="BC12" i="14" s="1"/>
  <c r="AY10" i="14"/>
  <c r="BB10" i="14"/>
  <c r="BC10" i="14" s="1"/>
  <c r="AY22" i="14"/>
  <c r="BB22" i="14"/>
  <c r="BC22" i="14" s="1"/>
  <c r="AY20" i="14"/>
  <c r="BB20" i="14"/>
  <c r="BC20" i="14" s="1"/>
  <c r="AY19" i="14"/>
  <c r="BB19" i="14"/>
  <c r="BC19" i="14" s="1"/>
  <c r="AY15" i="14"/>
  <c r="BB15" i="14"/>
  <c r="BC15" i="14" s="1"/>
  <c r="AY13" i="14"/>
  <c r="BB13" i="14"/>
  <c r="BC13" i="14" s="1"/>
  <c r="AY11" i="14"/>
  <c r="BB11" i="14"/>
  <c r="BC11" i="14" s="1"/>
  <c r="AY9" i="14"/>
  <c r="BB9" i="14"/>
  <c r="BC9" i="14" s="1"/>
  <c r="AY7" i="14"/>
  <c r="BB7" i="14"/>
  <c r="BC7" i="14" s="1"/>
  <c r="AY26" i="12"/>
  <c r="BB26" i="12"/>
  <c r="BC26" i="12" s="1"/>
  <c r="AY21" i="12"/>
  <c r="BB21" i="12"/>
  <c r="BC21" i="12" s="1"/>
  <c r="AY19" i="12"/>
  <c r="BB19" i="12"/>
  <c r="BC19" i="12" s="1"/>
  <c r="AY18" i="12"/>
  <c r="BB18" i="12"/>
  <c r="BC18" i="12" s="1"/>
  <c r="AY14" i="12"/>
  <c r="BB14" i="12"/>
  <c r="BC14" i="12" s="1"/>
  <c r="AY8" i="12"/>
  <c r="BB8" i="12"/>
  <c r="BC8" i="12" s="1"/>
  <c r="AY25" i="12"/>
  <c r="BB25" i="12"/>
  <c r="BC25" i="12" s="1"/>
  <c r="AY20" i="12"/>
  <c r="BB20" i="12"/>
  <c r="BC20" i="12" s="1"/>
  <c r="AY23" i="12"/>
  <c r="BB23" i="12"/>
  <c r="BC23" i="12" s="1"/>
  <c r="AY17" i="12"/>
  <c r="BB17" i="12"/>
  <c r="BC17" i="12" s="1"/>
  <c r="AY13" i="12"/>
  <c r="BB13" i="12"/>
  <c r="BC13" i="12" s="1"/>
  <c r="AY11" i="12"/>
  <c r="BB11" i="12"/>
  <c r="BC11" i="12" s="1"/>
  <c r="AY24" i="12"/>
  <c r="BB24" i="12"/>
  <c r="BC24" i="12" s="1"/>
  <c r="AY16" i="12"/>
  <c r="BB16" i="12"/>
  <c r="BC16" i="12" s="1"/>
  <c r="AY12" i="12"/>
  <c r="BB12" i="12"/>
  <c r="BC12" i="12" s="1"/>
  <c r="AY10" i="12"/>
  <c r="BB10" i="12"/>
  <c r="BC10" i="12" s="1"/>
  <c r="AY22" i="12"/>
  <c r="BB22" i="12"/>
  <c r="BC22" i="12" s="1"/>
  <c r="AY15" i="12"/>
  <c r="BB15" i="12"/>
  <c r="BC15" i="12" s="1"/>
  <c r="AY9" i="12"/>
  <c r="BB9" i="12"/>
  <c r="BC9" i="12" s="1"/>
  <c r="AY7" i="12"/>
  <c r="BB7" i="12"/>
  <c r="BC7" i="12" s="1"/>
  <c r="AX26" i="11"/>
  <c r="BA26" i="11"/>
  <c r="BB26" i="11" s="1"/>
  <c r="AX24" i="11"/>
  <c r="BA24" i="11"/>
  <c r="BB24" i="11" s="1"/>
  <c r="AX21" i="11"/>
  <c r="BA21" i="11"/>
  <c r="BB21" i="11" s="1"/>
  <c r="AX16" i="11"/>
  <c r="BA16" i="11"/>
  <c r="BB16" i="11" s="1"/>
  <c r="AX14" i="11"/>
  <c r="BA14" i="11"/>
  <c r="BB14" i="11" s="1"/>
  <c r="AX8" i="11"/>
  <c r="BA8" i="11"/>
  <c r="BB8" i="11" s="1"/>
  <c r="AX22" i="11"/>
  <c r="BA22" i="11"/>
  <c r="BB22" i="11" s="1"/>
  <c r="AX20" i="11"/>
  <c r="BA20" i="11"/>
  <c r="BB20" i="11" s="1"/>
  <c r="AX15" i="11"/>
  <c r="BA15" i="11"/>
  <c r="BB15" i="11" s="1"/>
  <c r="AX13" i="11"/>
  <c r="BA13" i="11"/>
  <c r="BB13" i="11" s="1"/>
  <c r="AX9" i="11"/>
  <c r="BA9" i="11"/>
  <c r="BB9" i="11" s="1"/>
  <c r="AX7" i="11"/>
  <c r="BA7" i="11"/>
  <c r="BB7" i="11" s="1"/>
  <c r="AX23" i="11"/>
  <c r="BA23" i="11"/>
  <c r="BB23" i="11" s="1"/>
  <c r="AX18" i="11"/>
  <c r="BA18" i="11"/>
  <c r="BB18" i="11" s="1"/>
  <c r="AX12" i="11"/>
  <c r="BA12" i="11"/>
  <c r="BB12" i="11" s="1"/>
  <c r="AX11" i="11"/>
  <c r="BA11" i="11"/>
  <c r="BB11" i="11" s="1"/>
  <c r="AX25" i="11"/>
  <c r="BA25" i="11"/>
  <c r="BB25" i="11" s="1"/>
  <c r="AX19" i="11"/>
  <c r="BA19" i="11"/>
  <c r="BB19" i="11" s="1"/>
  <c r="AX17" i="11"/>
  <c r="BA17" i="11"/>
  <c r="BB17" i="11" s="1"/>
  <c r="AX10" i="11"/>
  <c r="BA10" i="11"/>
  <c r="BB10" i="11" s="1"/>
  <c r="AY24" i="10"/>
  <c r="BB24" i="10"/>
  <c r="BC24" i="10" s="1"/>
  <c r="AY17" i="10"/>
  <c r="BB17" i="10"/>
  <c r="BC17" i="10" s="1"/>
  <c r="AY25" i="10"/>
  <c r="BB25" i="10"/>
  <c r="BC25" i="10" s="1"/>
  <c r="AY22" i="10"/>
  <c r="BB22" i="10"/>
  <c r="BC22" i="10" s="1"/>
  <c r="AY19" i="10"/>
  <c r="BB19" i="10"/>
  <c r="BC19" i="10" s="1"/>
  <c r="AY16" i="10"/>
  <c r="BB16" i="10"/>
  <c r="BC16" i="10" s="1"/>
  <c r="AY14" i="10"/>
  <c r="BB14" i="10"/>
  <c r="BC14" i="10" s="1"/>
  <c r="AY7" i="10"/>
  <c r="BB7" i="10"/>
  <c r="BC7" i="10" s="1"/>
  <c r="AY10" i="10"/>
  <c r="BB10" i="10"/>
  <c r="BC10" i="10" s="1"/>
  <c r="AY26" i="10"/>
  <c r="BB26" i="10"/>
  <c r="BC26" i="10" s="1"/>
  <c r="AY21" i="10"/>
  <c r="BB21" i="10"/>
  <c r="BC21" i="10" s="1"/>
  <c r="AY23" i="10"/>
  <c r="BB23" i="10"/>
  <c r="BC23" i="10" s="1"/>
  <c r="AY15" i="10"/>
  <c r="BB15" i="10"/>
  <c r="BC15" i="10" s="1"/>
  <c r="AY13" i="10"/>
  <c r="BB13" i="10"/>
  <c r="BC13" i="10" s="1"/>
  <c r="AY11" i="10"/>
  <c r="BB11" i="10"/>
  <c r="BC11" i="10" s="1"/>
  <c r="AY8" i="10"/>
  <c r="BB8" i="10"/>
  <c r="BC8" i="10" s="1"/>
  <c r="AY12" i="10"/>
  <c r="BB12" i="10"/>
  <c r="BC12" i="10" s="1"/>
  <c r="AY20" i="10"/>
  <c r="BB20" i="10"/>
  <c r="BC20" i="10" s="1"/>
  <c r="AY18" i="10"/>
  <c r="BB18" i="10"/>
  <c r="BC18" i="10" s="1"/>
  <c r="AY9" i="10"/>
  <c r="BB9" i="10"/>
  <c r="BC9" i="10" s="1"/>
  <c r="AY26" i="9"/>
  <c r="BB26" i="9"/>
  <c r="BC26" i="9" s="1"/>
  <c r="AY22" i="9"/>
  <c r="BB22" i="9"/>
  <c r="BC22" i="9" s="1"/>
  <c r="AY18" i="9"/>
  <c r="BB18" i="9"/>
  <c r="BC18" i="9" s="1"/>
  <c r="AY8" i="9"/>
  <c r="BB8" i="9"/>
  <c r="BC8" i="9" s="1"/>
  <c r="AY25" i="9"/>
  <c r="BB25" i="9"/>
  <c r="BC25" i="9" s="1"/>
  <c r="AY7" i="9"/>
  <c r="BB7" i="9"/>
  <c r="BC7" i="9" s="1"/>
  <c r="AY16" i="9"/>
  <c r="BB16" i="9"/>
  <c r="BC16" i="9" s="1"/>
  <c r="AY19" i="9"/>
  <c r="BB19" i="9"/>
  <c r="BC19" i="9" s="1"/>
  <c r="AY13" i="9"/>
  <c r="BB13" i="9"/>
  <c r="BC13" i="9" s="1"/>
  <c r="AY14" i="9"/>
  <c r="BB14" i="9"/>
  <c r="BC14" i="9" s="1"/>
  <c r="AY24" i="9"/>
  <c r="BB24" i="9"/>
  <c r="BC24" i="9" s="1"/>
  <c r="AY17" i="9"/>
  <c r="BB17" i="9"/>
  <c r="BC17" i="9" s="1"/>
  <c r="AY21" i="9"/>
  <c r="BB21" i="9"/>
  <c r="BC21" i="9" s="1"/>
  <c r="AY15" i="9"/>
  <c r="BB15" i="9"/>
  <c r="BC15" i="9" s="1"/>
  <c r="AY11" i="9"/>
  <c r="BB11" i="9"/>
  <c r="BC11" i="9" s="1"/>
  <c r="AY12" i="9"/>
  <c r="BB12" i="9"/>
  <c r="BC12" i="9" s="1"/>
  <c r="AY23" i="9"/>
  <c r="BB23" i="9"/>
  <c r="BC23" i="9" s="1"/>
  <c r="AY20" i="9"/>
  <c r="BB20" i="9"/>
  <c r="BC20" i="9" s="1"/>
  <c r="AY9" i="9"/>
  <c r="BB9" i="9"/>
  <c r="BC9" i="9" s="1"/>
  <c r="AY10" i="9"/>
  <c r="BB10" i="9"/>
  <c r="BC10" i="9" s="1"/>
  <c r="AX26" i="8"/>
  <c r="BA26" i="8"/>
  <c r="BB26" i="8" s="1"/>
  <c r="AX21" i="8"/>
  <c r="BA21" i="8"/>
  <c r="BB21" i="8" s="1"/>
  <c r="AX15" i="8"/>
  <c r="BA15" i="8"/>
  <c r="BB15" i="8" s="1"/>
  <c r="AX13" i="8"/>
  <c r="BA13" i="8"/>
  <c r="BB13" i="8" s="1"/>
  <c r="AX12" i="8"/>
  <c r="BA12" i="8"/>
  <c r="BB12" i="8" s="1"/>
  <c r="AX25" i="8"/>
  <c r="BA25" i="8"/>
  <c r="BB25" i="8" s="1"/>
  <c r="AX20" i="8"/>
  <c r="BA20" i="8"/>
  <c r="BB20" i="8" s="1"/>
  <c r="AX16" i="8"/>
  <c r="BA16" i="8"/>
  <c r="BB16" i="8" s="1"/>
  <c r="AX14" i="8"/>
  <c r="BA14" i="8"/>
  <c r="BB14" i="8" s="1"/>
  <c r="AX24" i="8"/>
  <c r="BA24" i="8"/>
  <c r="BB24" i="8" s="1"/>
  <c r="AX23" i="8"/>
  <c r="BA23" i="8"/>
  <c r="BB23" i="8" s="1"/>
  <c r="AX17" i="8"/>
  <c r="BA17" i="8"/>
  <c r="BB17" i="8" s="1"/>
  <c r="AX11" i="8"/>
  <c r="BA11" i="8"/>
  <c r="BB11" i="8" s="1"/>
  <c r="AX8" i="8"/>
  <c r="BA8" i="8"/>
  <c r="BB8" i="8" s="1"/>
  <c r="AX22" i="8"/>
  <c r="BA22" i="8"/>
  <c r="BB22" i="8" s="1"/>
  <c r="AX19" i="8"/>
  <c r="BA19" i="8"/>
  <c r="BB19" i="8" s="1"/>
  <c r="AX18" i="8"/>
  <c r="BA18" i="8"/>
  <c r="BB18" i="8" s="1"/>
  <c r="AX10" i="8"/>
  <c r="BA10" i="8"/>
  <c r="BB10" i="8" s="1"/>
  <c r="AX9" i="8"/>
  <c r="BA9" i="8"/>
  <c r="BB9" i="8" s="1"/>
  <c r="AX7" i="8"/>
  <c r="BA7" i="8"/>
  <c r="BB7" i="8" s="1"/>
  <c r="AY13" i="7"/>
  <c r="BB13" i="7"/>
  <c r="BC13" i="7" s="1"/>
  <c r="AY25" i="7"/>
  <c r="BB25" i="7"/>
  <c r="BC25" i="7" s="1"/>
  <c r="AY23" i="7"/>
  <c r="BB23" i="7"/>
  <c r="BC23" i="7" s="1"/>
  <c r="AY9" i="7"/>
  <c r="BB9" i="7"/>
  <c r="BC9" i="7" s="1"/>
  <c r="AY17" i="7"/>
  <c r="BB17" i="7"/>
  <c r="BC17" i="7" s="1"/>
  <c r="AY14" i="7"/>
  <c r="BB14" i="7"/>
  <c r="BC14" i="7" s="1"/>
  <c r="AY10" i="7"/>
  <c r="BB10" i="7"/>
  <c r="BC10" i="7" s="1"/>
  <c r="AY15" i="7"/>
  <c r="BB15" i="7"/>
  <c r="BC15" i="7" s="1"/>
  <c r="AY11" i="7"/>
  <c r="BB11" i="7"/>
  <c r="BC11" i="7" s="1"/>
  <c r="AY26" i="7"/>
  <c r="BB26" i="7"/>
  <c r="BC26" i="7" s="1"/>
  <c r="AY24" i="7"/>
  <c r="BB24" i="7"/>
  <c r="BC24" i="7" s="1"/>
  <c r="AY18" i="7"/>
  <c r="BB18" i="7"/>
  <c r="BC18" i="7" s="1"/>
  <c r="AY21" i="7"/>
  <c r="BB21" i="7"/>
  <c r="BC21" i="7" s="1"/>
  <c r="AY19" i="7"/>
  <c r="BB19" i="7"/>
  <c r="BC19" i="7" s="1"/>
  <c r="AY20" i="7"/>
  <c r="BB20" i="7"/>
  <c r="BC20" i="7" s="1"/>
  <c r="AY7" i="7"/>
  <c r="BB7" i="7"/>
  <c r="BC7" i="7" s="1"/>
  <c r="AY22" i="7"/>
  <c r="BB22" i="7"/>
  <c r="BC22" i="7" s="1"/>
  <c r="AY8" i="7"/>
  <c r="BB8" i="7"/>
  <c r="BC8" i="7" s="1"/>
  <c r="AY16" i="7"/>
  <c r="BB16" i="7"/>
  <c r="BC16" i="7" s="1"/>
  <c r="AY12" i="7"/>
  <c r="BB12" i="7"/>
  <c r="BC12" i="7" s="1"/>
  <c r="AY26" i="5"/>
  <c r="BB26" i="5"/>
  <c r="BC26" i="5" s="1"/>
  <c r="AY22" i="5"/>
  <c r="BB22" i="5"/>
  <c r="BC22" i="5" s="1"/>
  <c r="AY20" i="5"/>
  <c r="BB20" i="5"/>
  <c r="BC20" i="5" s="1"/>
  <c r="AY14" i="5"/>
  <c r="BB14" i="5"/>
  <c r="BC14" i="5" s="1"/>
  <c r="AY8" i="5"/>
  <c r="BB8" i="5"/>
  <c r="BC8" i="5" s="1"/>
  <c r="AY25" i="5"/>
  <c r="BB25" i="5"/>
  <c r="BC25" i="5" s="1"/>
  <c r="AY17" i="5"/>
  <c r="BB17" i="5"/>
  <c r="BC17" i="5" s="1"/>
  <c r="AY13" i="5"/>
  <c r="BB13" i="5"/>
  <c r="BC13" i="5" s="1"/>
  <c r="AY9" i="5"/>
  <c r="BB9" i="5"/>
  <c r="BC9" i="5" s="1"/>
  <c r="AY23" i="5"/>
  <c r="BB23" i="5"/>
  <c r="BC23" i="5" s="1"/>
  <c r="AY18" i="5"/>
  <c r="BB18" i="5"/>
  <c r="BC18" i="5" s="1"/>
  <c r="AY16" i="5"/>
  <c r="BB16" i="5"/>
  <c r="BC16" i="5" s="1"/>
  <c r="AY11" i="5"/>
  <c r="BB11" i="5"/>
  <c r="BC11" i="5" s="1"/>
  <c r="AY12" i="5"/>
  <c r="BB12" i="5"/>
  <c r="BC12" i="5" s="1"/>
  <c r="AY24" i="5"/>
  <c r="BB24" i="5"/>
  <c r="BC24" i="5" s="1"/>
  <c r="AY21" i="5"/>
  <c r="BB21" i="5"/>
  <c r="BC21" i="5" s="1"/>
  <c r="AY19" i="5"/>
  <c r="BB19" i="5"/>
  <c r="BC19" i="5" s="1"/>
  <c r="AY15" i="5"/>
  <c r="BB15" i="5"/>
  <c r="BC15" i="5" s="1"/>
  <c r="AY7" i="5"/>
  <c r="BB7" i="5"/>
  <c r="BC7" i="5" s="1"/>
  <c r="AY10" i="5"/>
  <c r="BB10" i="5"/>
  <c r="BC10" i="5" s="1"/>
  <c r="AY26" i="4"/>
  <c r="BB26" i="4"/>
  <c r="BC26" i="4" s="1"/>
  <c r="AY22" i="4"/>
  <c r="BB22" i="4"/>
  <c r="BC22" i="4" s="1"/>
  <c r="AY20" i="4"/>
  <c r="BB20" i="4"/>
  <c r="BC20" i="4" s="1"/>
  <c r="AY18" i="4"/>
  <c r="BB18" i="4"/>
  <c r="BC18" i="4" s="1"/>
  <c r="AY16" i="4"/>
  <c r="BB16" i="4"/>
  <c r="BC16" i="4" s="1"/>
  <c r="AY10" i="4"/>
  <c r="BB10" i="4"/>
  <c r="BC10" i="4" s="1"/>
  <c r="AY23" i="4"/>
  <c r="BB23" i="4"/>
  <c r="BC23" i="4" s="1"/>
  <c r="AY21" i="4"/>
  <c r="BB21" i="4"/>
  <c r="BC21" i="4" s="1"/>
  <c r="AY17" i="4"/>
  <c r="BB17" i="4"/>
  <c r="BC17" i="4" s="1"/>
  <c r="AY13" i="4"/>
  <c r="BB13" i="4"/>
  <c r="BC13" i="4" s="1"/>
  <c r="AY11" i="4"/>
  <c r="BB11" i="4"/>
  <c r="BC11" i="4" s="1"/>
  <c r="AY9" i="4"/>
  <c r="BB9" i="4"/>
  <c r="BC9" i="4" s="1"/>
  <c r="AY24" i="4"/>
  <c r="BB24" i="4"/>
  <c r="BC24" i="4" s="1"/>
  <c r="AY14" i="4"/>
  <c r="BB14" i="4"/>
  <c r="BC14" i="4" s="1"/>
  <c r="AY12" i="4"/>
  <c r="BB12" i="4"/>
  <c r="BC12" i="4" s="1"/>
  <c r="AY8" i="4"/>
  <c r="BB8" i="4"/>
  <c r="BC8" i="4" s="1"/>
  <c r="AY25" i="4"/>
  <c r="BB25" i="4"/>
  <c r="BC25" i="4" s="1"/>
  <c r="AY19" i="4"/>
  <c r="BB19" i="4"/>
  <c r="BC19" i="4" s="1"/>
  <c r="AY15" i="4"/>
  <c r="BB15" i="4"/>
  <c r="BC15" i="4" s="1"/>
  <c r="AY7" i="4"/>
  <c r="BB7" i="4"/>
  <c r="BC7" i="4" s="1"/>
  <c r="AM5" i="1"/>
  <c r="AN6" i="1"/>
  <c r="AN5" i="1" s="1"/>
  <c r="AX23" i="6" l="1"/>
  <c r="BA23" i="6"/>
  <c r="BB23" i="6" s="1"/>
  <c r="AX18" i="6"/>
  <c r="BA18" i="6"/>
  <c r="BB18" i="6" s="1"/>
  <c r="AX13" i="6"/>
  <c r="BA13" i="6"/>
  <c r="BB13" i="6" s="1"/>
  <c r="AX14" i="6"/>
  <c r="BA14" i="6"/>
  <c r="BB14" i="6" s="1"/>
  <c r="AX25" i="6"/>
  <c r="BA25" i="6"/>
  <c r="BB25" i="6" s="1"/>
  <c r="AX12" i="6"/>
  <c r="BA12" i="6"/>
  <c r="BB12" i="6" s="1"/>
  <c r="AX10" i="6"/>
  <c r="BA10" i="6"/>
  <c r="BB10" i="6" s="1"/>
  <c r="AX8" i="6"/>
  <c r="BA8" i="6"/>
  <c r="BB8" i="6" s="1"/>
  <c r="AX26" i="6"/>
  <c r="BA26" i="6"/>
  <c r="BB26" i="6" s="1"/>
  <c r="AX24" i="6"/>
  <c r="BA24" i="6"/>
  <c r="BB24" i="6" s="1"/>
  <c r="AX21" i="6"/>
  <c r="BA21" i="6"/>
  <c r="BB21" i="6" s="1"/>
  <c r="AX16" i="6"/>
  <c r="BA16" i="6"/>
  <c r="BB16" i="6" s="1"/>
  <c r="AX11" i="6"/>
  <c r="BA11" i="6"/>
  <c r="BB11" i="6" s="1"/>
  <c r="AX9" i="6"/>
  <c r="BA9" i="6"/>
  <c r="BB9" i="6" s="1"/>
  <c r="AX22" i="6"/>
  <c r="BA22" i="6"/>
  <c r="BB22" i="6" s="1"/>
  <c r="AX20" i="6"/>
  <c r="BA20" i="6"/>
  <c r="BB20" i="6" s="1"/>
  <c r="AX19" i="6"/>
  <c r="BA19" i="6"/>
  <c r="BB19" i="6" s="1"/>
  <c r="AX17" i="6"/>
  <c r="BA17" i="6"/>
  <c r="BB17" i="6" s="1"/>
  <c r="AX15" i="6"/>
  <c r="BA15" i="6"/>
  <c r="BB15" i="6" s="1"/>
  <c r="AX7" i="6"/>
  <c r="BA7" i="6"/>
  <c r="BB7" i="6" s="1"/>
  <c r="I25" i="1"/>
  <c r="AW25" i="1" s="1"/>
  <c r="I13" i="1"/>
  <c r="AW13" i="1" s="1"/>
  <c r="I17" i="1"/>
  <c r="AW17" i="1" s="1"/>
  <c r="I10" i="1"/>
  <c r="AW10" i="1" s="1"/>
  <c r="I19" i="1"/>
  <c r="AW19" i="1" s="1"/>
  <c r="I21" i="1"/>
  <c r="AW21" i="1" s="1"/>
  <c r="I26" i="1"/>
  <c r="AW26" i="1" s="1"/>
  <c r="I16" i="1"/>
  <c r="AW16" i="1" s="1"/>
  <c r="I14" i="1"/>
  <c r="AW14" i="1" s="1"/>
  <c r="I22" i="1"/>
  <c r="AW22" i="1" s="1"/>
  <c r="I18" i="1"/>
  <c r="AW18" i="1" s="1"/>
  <c r="I15" i="1"/>
  <c r="AW15" i="1" s="1"/>
  <c r="I23" i="1"/>
  <c r="AW23" i="1" s="1"/>
  <c r="I20" i="1"/>
  <c r="AW20" i="1" s="1"/>
  <c r="I9" i="1"/>
  <c r="AW9" i="1" s="1"/>
  <c r="I7" i="1"/>
  <c r="AW7" i="1" s="1"/>
  <c r="I11" i="1"/>
  <c r="AW11" i="1" s="1"/>
  <c r="I24" i="1"/>
  <c r="AW24" i="1" s="1"/>
  <c r="I8" i="1"/>
  <c r="AW8" i="1" s="1"/>
  <c r="I12" i="1"/>
  <c r="AW12" i="1" s="1"/>
  <c r="BB18" i="1" l="1"/>
  <c r="BC18" i="1" s="1"/>
  <c r="AY18" i="1"/>
  <c r="AY26" i="1"/>
  <c r="BB26" i="1"/>
  <c r="BC26" i="1" s="1"/>
  <c r="AY9" i="1"/>
  <c r="BB9" i="1"/>
  <c r="BC9" i="1" s="1"/>
  <c r="AY10" i="1"/>
  <c r="BB10" i="1"/>
  <c r="BC10" i="1" s="1"/>
  <c r="AY20" i="1"/>
  <c r="BB20" i="1"/>
  <c r="BC20" i="1" s="1"/>
  <c r="AY19" i="1"/>
  <c r="BB19" i="1"/>
  <c r="BC19" i="1" s="1"/>
  <c r="BB22" i="1"/>
  <c r="BC22" i="1" s="1"/>
  <c r="AY22" i="1"/>
  <c r="AY21" i="1"/>
  <c r="BB21" i="1"/>
  <c r="BC21" i="1" s="1"/>
  <c r="AY13" i="1"/>
  <c r="BB13" i="1"/>
  <c r="BC13" i="1" s="1"/>
  <c r="AY16" i="1"/>
  <c r="BB16" i="1"/>
  <c r="BC16" i="1" s="1"/>
  <c r="AY8" i="1"/>
  <c r="BB8" i="1"/>
  <c r="BC8" i="1" s="1"/>
  <c r="BB7" i="1"/>
  <c r="BC7" i="1" s="1"/>
  <c r="AY7" i="1"/>
  <c r="AY15" i="1"/>
  <c r="BB15" i="1"/>
  <c r="BC15" i="1" s="1"/>
  <c r="AY12" i="1"/>
  <c r="BB12" i="1"/>
  <c r="BC12" i="1" s="1"/>
  <c r="AY17" i="1"/>
  <c r="BB17" i="1"/>
  <c r="BC17" i="1" s="1"/>
  <c r="BB11" i="1"/>
  <c r="BC11" i="1" s="1"/>
  <c r="AY11" i="1"/>
  <c r="AY14" i="1"/>
  <c r="BB14" i="1"/>
  <c r="BC14" i="1" s="1"/>
  <c r="AY23" i="1"/>
  <c r="BB23" i="1"/>
  <c r="BC23" i="1" s="1"/>
  <c r="BB24" i="1"/>
  <c r="BC24" i="1" s="1"/>
  <c r="AY24" i="1"/>
  <c r="AY25" i="1"/>
  <c r="BB25" i="1"/>
  <c r="BC25" i="1" s="1"/>
</calcChain>
</file>

<file path=xl/sharedStrings.xml><?xml version="1.0" encoding="utf-8"?>
<sst xmlns="http://schemas.openxmlformats.org/spreadsheetml/2006/main" count="7039" uniqueCount="45">
  <si>
    <t>S No</t>
  </si>
  <si>
    <t>Name</t>
  </si>
  <si>
    <t>Employee Id</t>
  </si>
  <si>
    <t>Aarav Sharma</t>
  </si>
  <si>
    <t>Saanvi Mehta</t>
  </si>
  <si>
    <t>Vedant Iyer</t>
  </si>
  <si>
    <t>Anaya Kapoor</t>
  </si>
  <si>
    <t>Karan Malhotra</t>
  </si>
  <si>
    <t>Ishita Joshi</t>
  </si>
  <si>
    <t>Rohan Verma</t>
  </si>
  <si>
    <t>Nisha Gupta</t>
  </si>
  <si>
    <t>Arjun Patel</t>
  </si>
  <si>
    <t>Priya Desai</t>
  </si>
  <si>
    <t>Kabir Rathi</t>
  </si>
  <si>
    <t>Meera Nair</t>
  </si>
  <si>
    <t>Siddharth Bansal</t>
  </si>
  <si>
    <t>Aanya Khanna</t>
  </si>
  <si>
    <t>Laksh Singhania</t>
  </si>
  <si>
    <t>Tanvi Goyal</t>
  </si>
  <si>
    <t>Aditya Shekhawat</t>
  </si>
  <si>
    <t>Isha Chauhan</t>
  </si>
  <si>
    <t>Vihaan Reddy</t>
  </si>
  <si>
    <t>Riya Kaur</t>
  </si>
  <si>
    <t>EmployeeID</t>
  </si>
  <si>
    <t>S.NO</t>
  </si>
  <si>
    <t>EmployeeName</t>
  </si>
  <si>
    <t>to</t>
  </si>
  <si>
    <t>from</t>
  </si>
  <si>
    <t>Week off</t>
  </si>
  <si>
    <t>Days</t>
  </si>
  <si>
    <t>Present</t>
  </si>
  <si>
    <t>Adsent</t>
  </si>
  <si>
    <t>Leave</t>
  </si>
  <si>
    <t>Paid Days</t>
  </si>
  <si>
    <t>Salary</t>
  </si>
  <si>
    <t>Perday salary</t>
  </si>
  <si>
    <t xml:space="preserve">Detuction </t>
  </si>
  <si>
    <t>Total Salary</t>
  </si>
  <si>
    <t>Week Off</t>
  </si>
  <si>
    <t>Sparkline</t>
  </si>
  <si>
    <r>
      <rPr>
        <b/>
        <sz val="10"/>
        <color theme="0"/>
        <rFont val="Calibri"/>
        <family val="2"/>
        <scheme val="minor"/>
      </rPr>
      <t>Additional</t>
    </r>
    <r>
      <rPr>
        <sz val="10"/>
        <color theme="0"/>
        <rFont val="Calibri"/>
        <family val="2"/>
        <scheme val="minor"/>
      </rPr>
      <t xml:space="preserve"> </t>
    </r>
    <r>
      <rPr>
        <b/>
        <sz val="10"/>
        <color theme="0"/>
        <rFont val="Calibri"/>
        <family val="2"/>
        <scheme val="minor"/>
      </rPr>
      <t>Information</t>
    </r>
  </si>
  <si>
    <t>Month</t>
  </si>
  <si>
    <t>P</t>
  </si>
  <si>
    <t>A</t>
  </si>
  <si>
    <t>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</si>
</sst>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"/>
    <numFmt numFmtId="165" formatCode="_ [$Rs.-4009]\ * #,##0_ ;_ [$Rs.-4009]\ * \-#,##0_ ;_ [$Rs.-4009]\ * &quot;-&quot;??_ ;_ @_ "/>
    <numFmt numFmtId="166" formatCode="_ [$Rs.-4009]\ * #,##0_ ;_ [$Rs.-4009]\ * \-#,##0_ ;_ [$Rs.-4009]\ * &quot;-&quot;_ ;_ @_ "/>
  </numFmts>
  <fonts count="1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</font>
    <font>
      <sz val="11"/>
      <color theme="1"/>
      <name val="Calibri"/>
      <family val="2"/>
    </font>
    <font>
      <b/>
      <sz val="14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2" tint="-9.9978637043366805E-2"/>
      <name val="Calibri"/>
      <family val="2"/>
      <scheme val="minor"/>
    </font>
    <font>
      <b/>
      <sz val="10"/>
      <color theme="2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 tint="-4.9989318521683403E-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2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/>
        <bgColor indexed="64"/>
      </patternFill>
    </fill>
  </fills>
  <borders count="21">
    <border>
      <left/>
      <right/>
      <top/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90">
    <xf numFmtId="0" fontId="0" fillId="0" borderId="0" xfId="0"/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0" fillId="0" borderId="0" xfId="0"/>
    <xf numFmtId="0" fontId="5" fillId="3" borderId="11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6" fillId="4" borderId="10" xfId="0" applyFont="1" applyFill="1" applyBorder="1" applyAlignment="1">
      <alignment horizontal="center" vertical="center"/>
    </xf>
    <xf numFmtId="0" fontId="6" fillId="4" borderId="11" xfId="0" applyFont="1" applyFill="1" applyBorder="1" applyAlignment="1">
      <alignment horizontal="center" vertical="center"/>
    </xf>
    <xf numFmtId="0" fontId="6" fillId="4" borderId="12" xfId="0" applyFont="1" applyFill="1" applyBorder="1" applyAlignment="1">
      <alignment horizontal="center" vertical="center"/>
    </xf>
    <xf numFmtId="0" fontId="7" fillId="4" borderId="10" xfId="0" applyFont="1" applyFill="1" applyBorder="1" applyAlignment="1">
      <alignment horizontal="center" vertical="center"/>
    </xf>
    <xf numFmtId="164" fontId="7" fillId="4" borderId="11" xfId="0" applyNumberFormat="1" applyFont="1" applyFill="1" applyBorder="1" applyAlignment="1">
      <alignment horizontal="center" vertical="center"/>
    </xf>
    <xf numFmtId="164" fontId="7" fillId="4" borderId="12" xfId="0" applyNumberFormat="1" applyFont="1" applyFill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10" fillId="0" borderId="11" xfId="0" applyFont="1" applyBorder="1"/>
    <xf numFmtId="0" fontId="8" fillId="0" borderId="13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0" xfId="0" applyFont="1" applyBorder="1"/>
    <xf numFmtId="0" fontId="8" fillId="0" borderId="15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10" fillId="0" borderId="16" xfId="0" applyFont="1" applyBorder="1"/>
    <xf numFmtId="0" fontId="8" fillId="0" borderId="0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0" fillId="0" borderId="0" xfId="0" applyNumberFormat="1" applyFont="1" applyBorder="1" applyAlignment="1">
      <alignment horizontal="center" vertical="center"/>
    </xf>
    <xf numFmtId="165" fontId="10" fillId="0" borderId="0" xfId="0" applyNumberFormat="1" applyFont="1" applyBorder="1" applyAlignment="1">
      <alignment horizontal="center" vertical="center"/>
    </xf>
    <xf numFmtId="166" fontId="10" fillId="0" borderId="0" xfId="0" applyNumberFormat="1" applyFont="1" applyBorder="1" applyAlignment="1">
      <alignment horizontal="center" vertical="center"/>
    </xf>
    <xf numFmtId="14" fontId="9" fillId="0" borderId="0" xfId="0" applyNumberFormat="1" applyFont="1" applyBorder="1" applyAlignment="1">
      <alignment horizontal="center" vertical="center"/>
    </xf>
    <xf numFmtId="0" fontId="3" fillId="5" borderId="18" xfId="0" applyFont="1" applyFill="1" applyBorder="1" applyAlignment="1">
      <alignment horizontal="center" vertical="center"/>
    </xf>
    <xf numFmtId="0" fontId="3" fillId="5" borderId="19" xfId="0" applyFont="1" applyFill="1" applyBorder="1" applyAlignment="1">
      <alignment horizontal="center" vertical="center"/>
    </xf>
    <xf numFmtId="0" fontId="3" fillId="5" borderId="20" xfId="0" applyFont="1" applyFill="1" applyBorder="1" applyAlignment="1">
      <alignment horizontal="center" vertical="center"/>
    </xf>
    <xf numFmtId="0" fontId="0" fillId="6" borderId="0" xfId="0" applyFill="1"/>
    <xf numFmtId="14" fontId="0" fillId="6" borderId="0" xfId="0" applyNumberFormat="1" applyFill="1"/>
    <xf numFmtId="0" fontId="0" fillId="7" borderId="0" xfId="0" applyFill="1"/>
    <xf numFmtId="164" fontId="0" fillId="7" borderId="0" xfId="0" applyNumberFormat="1" applyFill="1"/>
    <xf numFmtId="0" fontId="0" fillId="8" borderId="0" xfId="0" applyFill="1"/>
    <xf numFmtId="0" fontId="12" fillId="8" borderId="0" xfId="0" applyFont="1" applyFill="1"/>
    <xf numFmtId="15" fontId="12" fillId="8" borderId="0" xfId="0" applyNumberFormat="1" applyFont="1" applyFill="1"/>
    <xf numFmtId="14" fontId="12" fillId="8" borderId="0" xfId="0" applyNumberFormat="1" applyFont="1" applyFill="1"/>
    <xf numFmtId="0" fontId="11" fillId="0" borderId="10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0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11" fillId="0" borderId="17" xfId="0" applyFont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3" fillId="0" borderId="13" xfId="0" applyFont="1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3" fillId="0" borderId="0" xfId="0" applyFont="1" applyBorder="1" applyAlignment="1">
      <alignment horizontal="center" vertical="center"/>
    </xf>
    <xf numFmtId="0" fontId="13" fillId="0" borderId="16" xfId="0" applyFont="1" applyBorder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0" fontId="14" fillId="0" borderId="12" xfId="0" applyFont="1" applyBorder="1" applyAlignment="1">
      <alignment horizontal="center" vertical="center"/>
    </xf>
    <xf numFmtId="0" fontId="14" fillId="0" borderId="0" xfId="0" applyFont="1" applyBorder="1" applyAlignment="1">
      <alignment horizontal="center" vertical="center"/>
    </xf>
    <xf numFmtId="0" fontId="14" fillId="0" borderId="14" xfId="0" applyFont="1" applyBorder="1" applyAlignment="1">
      <alignment horizontal="center" vertical="center"/>
    </xf>
    <xf numFmtId="0" fontId="14" fillId="0" borderId="16" xfId="0" applyFont="1" applyBorder="1" applyAlignment="1">
      <alignment horizontal="center" vertical="center"/>
    </xf>
    <xf numFmtId="0" fontId="14" fillId="0" borderId="17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13" fillId="0" borderId="17" xfId="0" applyFont="1" applyBorder="1" applyAlignment="1">
      <alignment horizontal="center" vertical="center"/>
    </xf>
    <xf numFmtId="0" fontId="15" fillId="4" borderId="10" xfId="0" applyFont="1" applyFill="1" applyBorder="1" applyAlignment="1">
      <alignment horizontal="center" vertical="center"/>
    </xf>
    <xf numFmtId="164" fontId="15" fillId="4" borderId="11" xfId="0" applyNumberFormat="1" applyFont="1" applyFill="1" applyBorder="1" applyAlignment="1">
      <alignment horizontal="center" vertical="center"/>
    </xf>
    <xf numFmtId="164" fontId="15" fillId="4" borderId="12" xfId="0" applyNumberFormat="1" applyFont="1" applyFill="1" applyBorder="1" applyAlignment="1">
      <alignment horizontal="center" vertical="center"/>
    </xf>
    <xf numFmtId="0" fontId="0" fillId="9" borderId="0" xfId="0" applyFill="1"/>
    <xf numFmtId="0" fontId="12" fillId="9" borderId="0" xfId="0" applyFont="1" applyFill="1"/>
    <xf numFmtId="15" fontId="12" fillId="9" borderId="0" xfId="0" applyNumberFormat="1" applyFont="1" applyFill="1"/>
    <xf numFmtId="14" fontId="12" fillId="9" borderId="0" xfId="0" applyNumberFormat="1" applyFont="1" applyFill="1"/>
    <xf numFmtId="0" fontId="1" fillId="2" borderId="1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horizontal="center"/>
    </xf>
    <xf numFmtId="0" fontId="4" fillId="3" borderId="11" xfId="0" applyFont="1" applyFill="1" applyBorder="1" applyAlignment="1">
      <alignment horizontal="center"/>
    </xf>
  </cellXfs>
  <cellStyles count="1">
    <cellStyle name="Normal" xfId="0" builtinId="0"/>
  </cellStyles>
  <dxfs count="288">
    <dxf>
      <font>
        <strike val="0"/>
        <outline val="0"/>
        <shadow val="0"/>
        <u val="none"/>
        <vertAlign val="baseline"/>
        <sz val="10"/>
        <color theme="1"/>
        <name val="Calibri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</font>
      <numFmt numFmtId="165" formatCode="_ [$Rs.-4009]\ * #,##0_ ;_ [$Rs.-4009]\ * \-#,##0_ ;_ [$Rs.-4009]\ * &quot;-&quot;??_ ;_ @_ 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</font>
      <numFmt numFmtId="165" formatCode="_ [$Rs.-4009]\ * #,##0_ ;_ [$Rs.-4009]\ * \-#,##0_ ;_ [$Rs.-4009]\ * &quot;-&quot;??_ ;_ @_ 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</font>
      <numFmt numFmtId="166" formatCode="_ [$Rs.-4009]\ * #,##0_ ;_ [$Rs.-4009]\ * \-#,##0_ ;_ [$Rs.-4009]\ * &quot;-&quot;_ ;_ @_ 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</font>
      <numFmt numFmtId="165" formatCode="_ [$Rs.-4009]\ * #,##0_ ;_ [$Rs.-4009]\ * \-#,##0_ ;_ [$Rs.-4009]\ * &quot;-&quot;??_ ;_ @_ 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</font>
      <numFmt numFmtId="0" formatCode="General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67" formatCode="dd/mm/yy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border diagonalUp="0" diagonalDown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alibri"/>
      </font>
      <alignment horizontal="center" vertical="center" textRotation="0" wrapText="0" indent="0" justifyLastLine="0" shrinkToFit="0" readingOrder="0"/>
    </dxf>
    <dxf>
      <border>
        <bottom style="medium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fill>
        <patternFill patternType="solid">
          <fgColor indexed="64"/>
          <bgColor rgb="FFFF9900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/>
        <vertical/>
        <horizontal/>
      </border>
    </dxf>
    <dxf>
      <fill>
        <patternFill>
          <bgColor theme="2" tint="-9.9948118533890809E-2"/>
        </patternFill>
      </fill>
    </dxf>
    <dxf>
      <fill>
        <patternFill>
          <bgColor theme="2" tint="-0.24994659260841701"/>
        </patternFill>
      </fill>
    </dxf>
    <dxf>
      <font>
        <b/>
        <i val="0"/>
        <color rgb="FFFF0000"/>
      </font>
    </dxf>
    <dxf>
      <font>
        <b/>
        <i val="0"/>
        <color theme="7" tint="-0.24994659260841701"/>
      </font>
      <fill>
        <patternFill>
          <bgColor theme="7" tint="0.59996337778862885"/>
        </patternFill>
      </fill>
    </dxf>
    <dxf>
      <font>
        <b/>
        <i val="0"/>
        <color theme="9" tint="-0.24994659260841701"/>
      </font>
    </dxf>
    <dxf>
      <font>
        <strike val="0"/>
        <outline val="0"/>
        <shadow val="0"/>
        <u val="none"/>
        <vertAlign val="baseline"/>
        <sz val="10"/>
        <color theme="1"/>
        <name val="Calibri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</font>
      <numFmt numFmtId="165" formatCode="_ [$Rs.-4009]\ * #,##0_ ;_ [$Rs.-4009]\ * \-#,##0_ ;_ [$Rs.-4009]\ * &quot;-&quot;??_ ;_ @_ 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</font>
      <numFmt numFmtId="165" formatCode="_ [$Rs.-4009]\ * #,##0_ ;_ [$Rs.-4009]\ * \-#,##0_ ;_ [$Rs.-4009]\ * &quot;-&quot;??_ ;_ @_ 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</font>
      <numFmt numFmtId="166" formatCode="_ [$Rs.-4009]\ * #,##0_ ;_ [$Rs.-4009]\ * \-#,##0_ ;_ [$Rs.-4009]\ * &quot;-&quot;_ ;_ @_ 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</font>
      <numFmt numFmtId="165" formatCode="_ [$Rs.-4009]\ * #,##0_ ;_ [$Rs.-4009]\ * \-#,##0_ ;_ [$Rs.-4009]\ * &quot;-&quot;??_ ;_ @_ 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</font>
      <numFmt numFmtId="0" formatCode="General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67" formatCode="dd/mm/yy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border diagonalUp="0" diagonalDown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alibri"/>
      </font>
      <alignment horizontal="center" vertical="center" textRotation="0" wrapText="0" indent="0" justifyLastLine="0" shrinkToFit="0" readingOrder="0"/>
    </dxf>
    <dxf>
      <border>
        <bottom style="medium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fill>
        <patternFill patternType="solid">
          <fgColor indexed="64"/>
          <bgColor rgb="FFFF9900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/>
        <vertical/>
        <horizontal/>
      </border>
    </dxf>
    <dxf>
      <fill>
        <patternFill>
          <bgColor theme="2" tint="-9.9948118533890809E-2"/>
        </patternFill>
      </fill>
    </dxf>
    <dxf>
      <fill>
        <patternFill>
          <bgColor theme="2" tint="-0.24994659260841701"/>
        </patternFill>
      </fill>
    </dxf>
    <dxf>
      <font>
        <b/>
        <i val="0"/>
        <color rgb="FFFF0000"/>
      </font>
    </dxf>
    <dxf>
      <font>
        <b/>
        <i val="0"/>
        <color theme="7" tint="-0.24994659260841701"/>
      </font>
      <fill>
        <patternFill>
          <bgColor theme="7" tint="0.59996337778862885"/>
        </patternFill>
      </fill>
    </dxf>
    <dxf>
      <font>
        <b/>
        <i val="0"/>
        <color theme="9" tint="-0.24994659260841701"/>
      </font>
    </dxf>
    <dxf>
      <font>
        <strike val="0"/>
        <outline val="0"/>
        <shadow val="0"/>
        <u val="none"/>
        <vertAlign val="baseline"/>
        <sz val="10"/>
        <color theme="1"/>
        <name val="Calibri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</font>
      <numFmt numFmtId="165" formatCode="_ [$Rs.-4009]\ * #,##0_ ;_ [$Rs.-4009]\ * \-#,##0_ ;_ [$Rs.-4009]\ * &quot;-&quot;??_ ;_ @_ 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</font>
      <numFmt numFmtId="165" formatCode="_ [$Rs.-4009]\ * #,##0_ ;_ [$Rs.-4009]\ * \-#,##0_ ;_ [$Rs.-4009]\ * &quot;-&quot;??_ ;_ @_ 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</font>
      <numFmt numFmtId="166" formatCode="_ [$Rs.-4009]\ * #,##0_ ;_ [$Rs.-4009]\ * \-#,##0_ ;_ [$Rs.-4009]\ * &quot;-&quot;_ ;_ @_ 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</font>
      <numFmt numFmtId="165" formatCode="_ [$Rs.-4009]\ * #,##0_ ;_ [$Rs.-4009]\ * \-#,##0_ ;_ [$Rs.-4009]\ * &quot;-&quot;??_ ;_ @_ 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</font>
      <numFmt numFmtId="0" formatCode="General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67" formatCode="dd/mm/yy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border diagonalUp="0" diagonalDown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alibri"/>
      </font>
      <alignment horizontal="center" vertical="center" textRotation="0" wrapText="0" indent="0" justifyLastLine="0" shrinkToFit="0" readingOrder="0"/>
    </dxf>
    <dxf>
      <border>
        <bottom style="medium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fill>
        <patternFill patternType="solid">
          <fgColor indexed="64"/>
          <bgColor rgb="FFFF9900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/>
        <vertical/>
        <horizontal/>
      </border>
    </dxf>
    <dxf>
      <fill>
        <patternFill>
          <bgColor theme="2" tint="-9.9948118533890809E-2"/>
        </patternFill>
      </fill>
    </dxf>
    <dxf>
      <fill>
        <patternFill>
          <bgColor theme="2" tint="-0.24994659260841701"/>
        </patternFill>
      </fill>
    </dxf>
    <dxf>
      <font>
        <b/>
        <i val="0"/>
        <color rgb="FFFF0000"/>
      </font>
    </dxf>
    <dxf>
      <font>
        <b/>
        <i val="0"/>
        <color theme="7" tint="-0.24994659260841701"/>
      </font>
      <fill>
        <patternFill>
          <bgColor theme="7" tint="0.59996337778862885"/>
        </patternFill>
      </fill>
    </dxf>
    <dxf>
      <font>
        <b/>
        <i val="0"/>
        <color theme="9" tint="-0.24994659260841701"/>
      </font>
    </dxf>
    <dxf>
      <font>
        <strike val="0"/>
        <outline val="0"/>
        <shadow val="0"/>
        <u val="none"/>
        <vertAlign val="baseline"/>
        <sz val="10"/>
        <color theme="1"/>
        <name val="Calibri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</font>
      <numFmt numFmtId="165" formatCode="_ [$Rs.-4009]\ * #,##0_ ;_ [$Rs.-4009]\ * \-#,##0_ ;_ [$Rs.-4009]\ * &quot;-&quot;??_ ;_ @_ 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</font>
      <numFmt numFmtId="165" formatCode="_ [$Rs.-4009]\ * #,##0_ ;_ [$Rs.-4009]\ * \-#,##0_ ;_ [$Rs.-4009]\ * &quot;-&quot;??_ ;_ @_ 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</font>
      <numFmt numFmtId="166" formatCode="_ [$Rs.-4009]\ * #,##0_ ;_ [$Rs.-4009]\ * \-#,##0_ ;_ [$Rs.-4009]\ * &quot;-&quot;_ ;_ @_ 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</font>
      <numFmt numFmtId="165" formatCode="_ [$Rs.-4009]\ * #,##0_ ;_ [$Rs.-4009]\ * \-#,##0_ ;_ [$Rs.-4009]\ * &quot;-&quot;??_ ;_ @_ 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</font>
      <numFmt numFmtId="0" formatCode="General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67" formatCode="dd/mm/yy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border diagonalUp="0" diagonalDown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alibri"/>
      </font>
      <alignment horizontal="center" vertical="center" textRotation="0" wrapText="0" indent="0" justifyLastLine="0" shrinkToFit="0" readingOrder="0"/>
    </dxf>
    <dxf>
      <border>
        <bottom style="medium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fill>
        <patternFill patternType="solid">
          <fgColor indexed="64"/>
          <bgColor rgb="FFFF9900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/>
        <vertical/>
        <horizontal/>
      </border>
    </dxf>
    <dxf>
      <fill>
        <patternFill>
          <bgColor theme="2" tint="-9.9948118533890809E-2"/>
        </patternFill>
      </fill>
    </dxf>
    <dxf>
      <fill>
        <patternFill>
          <bgColor theme="2" tint="-0.24994659260841701"/>
        </patternFill>
      </fill>
    </dxf>
    <dxf>
      <font>
        <b/>
        <i val="0"/>
        <color rgb="FFFF0000"/>
      </font>
    </dxf>
    <dxf>
      <font>
        <b/>
        <i val="0"/>
        <color theme="7" tint="-0.24994659260841701"/>
      </font>
      <fill>
        <patternFill>
          <bgColor theme="7" tint="0.59996337778862885"/>
        </patternFill>
      </fill>
    </dxf>
    <dxf>
      <font>
        <b/>
        <i val="0"/>
        <color theme="9" tint="-0.24994659260841701"/>
      </font>
    </dxf>
    <dxf>
      <font>
        <strike val="0"/>
        <outline val="0"/>
        <shadow val="0"/>
        <u val="none"/>
        <vertAlign val="baseline"/>
        <sz val="10"/>
        <color theme="1"/>
        <name val="Calibri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</font>
      <numFmt numFmtId="165" formatCode="_ [$Rs.-4009]\ * #,##0_ ;_ [$Rs.-4009]\ * \-#,##0_ ;_ [$Rs.-4009]\ * &quot;-&quot;??_ ;_ @_ 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</font>
      <numFmt numFmtId="165" formatCode="_ [$Rs.-4009]\ * #,##0_ ;_ [$Rs.-4009]\ * \-#,##0_ ;_ [$Rs.-4009]\ * &quot;-&quot;??_ ;_ @_ 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</font>
      <numFmt numFmtId="166" formatCode="_ [$Rs.-4009]\ * #,##0_ ;_ [$Rs.-4009]\ * \-#,##0_ ;_ [$Rs.-4009]\ * &quot;-&quot;_ ;_ @_ 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</font>
      <numFmt numFmtId="165" formatCode="_ [$Rs.-4009]\ * #,##0_ ;_ [$Rs.-4009]\ * \-#,##0_ ;_ [$Rs.-4009]\ * &quot;-&quot;??_ ;_ @_ 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</font>
      <numFmt numFmtId="0" formatCode="General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67" formatCode="dd/mm/yy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border diagonalUp="0" diagonalDown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alibri"/>
      </font>
      <alignment horizontal="center" vertical="center" textRotation="0" wrapText="0" indent="0" justifyLastLine="0" shrinkToFit="0" readingOrder="0"/>
    </dxf>
    <dxf>
      <border>
        <bottom style="medium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fill>
        <patternFill patternType="solid">
          <fgColor indexed="64"/>
          <bgColor rgb="FFFF9900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/>
        <vertical/>
        <horizontal/>
      </border>
    </dxf>
    <dxf>
      <fill>
        <patternFill>
          <bgColor theme="2" tint="-9.9948118533890809E-2"/>
        </patternFill>
      </fill>
    </dxf>
    <dxf>
      <fill>
        <patternFill>
          <bgColor theme="2" tint="-0.24994659260841701"/>
        </patternFill>
      </fill>
    </dxf>
    <dxf>
      <font>
        <b/>
        <i val="0"/>
        <color rgb="FFFF0000"/>
      </font>
    </dxf>
    <dxf>
      <font>
        <b/>
        <i val="0"/>
        <color theme="7" tint="-0.24994659260841701"/>
      </font>
      <fill>
        <patternFill>
          <bgColor theme="7" tint="0.59996337778862885"/>
        </patternFill>
      </fill>
    </dxf>
    <dxf>
      <font>
        <b/>
        <i val="0"/>
        <color theme="9" tint="-0.24994659260841701"/>
      </font>
    </dxf>
    <dxf>
      <font>
        <strike val="0"/>
        <outline val="0"/>
        <shadow val="0"/>
        <u val="none"/>
        <vertAlign val="baseline"/>
        <sz val="10"/>
        <color theme="1"/>
        <name val="Calibri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</font>
      <numFmt numFmtId="165" formatCode="_ [$Rs.-4009]\ * #,##0_ ;_ [$Rs.-4009]\ * \-#,##0_ ;_ [$Rs.-4009]\ * &quot;-&quot;??_ ;_ @_ 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</font>
      <numFmt numFmtId="165" formatCode="_ [$Rs.-4009]\ * #,##0_ ;_ [$Rs.-4009]\ * \-#,##0_ ;_ [$Rs.-4009]\ * &quot;-&quot;??_ ;_ @_ 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</font>
      <numFmt numFmtId="166" formatCode="_ [$Rs.-4009]\ * #,##0_ ;_ [$Rs.-4009]\ * \-#,##0_ ;_ [$Rs.-4009]\ * &quot;-&quot;_ ;_ @_ 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</font>
      <numFmt numFmtId="165" formatCode="_ [$Rs.-4009]\ * #,##0_ ;_ [$Rs.-4009]\ * \-#,##0_ ;_ [$Rs.-4009]\ * &quot;-&quot;??_ ;_ @_ 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</font>
      <numFmt numFmtId="0" formatCode="General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67" formatCode="dd/mm/yy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border diagonalUp="0" diagonalDown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alibri"/>
      </font>
      <alignment horizontal="center" vertical="center" textRotation="0" wrapText="0" indent="0" justifyLastLine="0" shrinkToFit="0" readingOrder="0"/>
    </dxf>
    <dxf>
      <border>
        <bottom style="medium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fill>
        <patternFill patternType="solid">
          <fgColor indexed="64"/>
          <bgColor rgb="FFFF9900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/>
        <vertical/>
        <horizontal/>
      </border>
    </dxf>
    <dxf>
      <fill>
        <patternFill>
          <bgColor theme="2" tint="-9.9948118533890809E-2"/>
        </patternFill>
      </fill>
    </dxf>
    <dxf>
      <fill>
        <patternFill>
          <bgColor theme="2" tint="-0.24994659260841701"/>
        </patternFill>
      </fill>
    </dxf>
    <dxf>
      <font>
        <b/>
        <i val="0"/>
        <color rgb="FFFF0000"/>
      </font>
    </dxf>
    <dxf>
      <font>
        <b/>
        <i val="0"/>
        <color theme="7" tint="-0.24994659260841701"/>
      </font>
      <fill>
        <patternFill>
          <bgColor theme="7" tint="0.59996337778862885"/>
        </patternFill>
      </fill>
    </dxf>
    <dxf>
      <font>
        <b/>
        <i val="0"/>
        <color theme="9" tint="-0.24994659260841701"/>
      </font>
    </dxf>
    <dxf>
      <font>
        <strike val="0"/>
        <outline val="0"/>
        <shadow val="0"/>
        <u val="none"/>
        <vertAlign val="baseline"/>
        <sz val="10"/>
        <color theme="1"/>
        <name val="Calibri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</font>
      <numFmt numFmtId="165" formatCode="_ [$Rs.-4009]\ * #,##0_ ;_ [$Rs.-4009]\ * \-#,##0_ ;_ [$Rs.-4009]\ * &quot;-&quot;??_ ;_ @_ 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</font>
      <numFmt numFmtId="165" formatCode="_ [$Rs.-4009]\ * #,##0_ ;_ [$Rs.-4009]\ * \-#,##0_ ;_ [$Rs.-4009]\ * &quot;-&quot;??_ ;_ @_ 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</font>
      <numFmt numFmtId="166" formatCode="_ [$Rs.-4009]\ * #,##0_ ;_ [$Rs.-4009]\ * \-#,##0_ ;_ [$Rs.-4009]\ * &quot;-&quot;_ ;_ @_ 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</font>
      <numFmt numFmtId="165" formatCode="_ [$Rs.-4009]\ * #,##0_ ;_ [$Rs.-4009]\ * \-#,##0_ ;_ [$Rs.-4009]\ * &quot;-&quot;??_ ;_ @_ 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</font>
      <numFmt numFmtId="0" formatCode="General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67" formatCode="dd/mm/yy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border diagonalUp="0" diagonalDown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alibri"/>
      </font>
      <alignment horizontal="center" vertical="center" textRotation="0" wrapText="0" indent="0" justifyLastLine="0" shrinkToFit="0" readingOrder="0"/>
    </dxf>
    <dxf>
      <border>
        <bottom style="medium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fill>
        <patternFill patternType="solid">
          <fgColor indexed="64"/>
          <bgColor rgb="FFFF9900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/>
        <vertical/>
        <horizontal/>
      </border>
    </dxf>
    <dxf>
      <fill>
        <patternFill>
          <bgColor theme="2" tint="-9.9948118533890809E-2"/>
        </patternFill>
      </fill>
    </dxf>
    <dxf>
      <fill>
        <patternFill>
          <bgColor theme="2" tint="-0.24994659260841701"/>
        </patternFill>
      </fill>
    </dxf>
    <dxf>
      <font>
        <b/>
        <i val="0"/>
        <color rgb="FFFF0000"/>
      </font>
    </dxf>
    <dxf>
      <font>
        <b/>
        <i val="0"/>
        <color theme="7" tint="-0.24994659260841701"/>
      </font>
      <fill>
        <patternFill>
          <bgColor theme="7" tint="0.59996337778862885"/>
        </patternFill>
      </fill>
    </dxf>
    <dxf>
      <font>
        <b/>
        <i val="0"/>
        <color theme="9" tint="-0.24994659260841701"/>
      </font>
    </dxf>
    <dxf>
      <font>
        <strike val="0"/>
        <outline val="0"/>
        <shadow val="0"/>
        <u val="none"/>
        <vertAlign val="baseline"/>
        <sz val="10"/>
        <color theme="1"/>
        <name val="Calibri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</font>
      <numFmt numFmtId="165" formatCode="_ [$Rs.-4009]\ * #,##0_ ;_ [$Rs.-4009]\ * \-#,##0_ ;_ [$Rs.-4009]\ * &quot;-&quot;??_ ;_ @_ 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</font>
      <numFmt numFmtId="165" formatCode="_ [$Rs.-4009]\ * #,##0_ ;_ [$Rs.-4009]\ * \-#,##0_ ;_ [$Rs.-4009]\ * &quot;-&quot;??_ ;_ @_ 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</font>
      <numFmt numFmtId="166" formatCode="_ [$Rs.-4009]\ * #,##0_ ;_ [$Rs.-4009]\ * \-#,##0_ ;_ [$Rs.-4009]\ * &quot;-&quot;_ ;_ @_ 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</font>
      <numFmt numFmtId="165" formatCode="_ [$Rs.-4009]\ * #,##0_ ;_ [$Rs.-4009]\ * \-#,##0_ ;_ [$Rs.-4009]\ * &quot;-&quot;??_ ;_ @_ 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</font>
      <numFmt numFmtId="0" formatCode="General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67" formatCode="dd/mm/yy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border diagonalUp="0" diagonalDown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alibri"/>
      </font>
      <alignment horizontal="center" vertical="center" textRotation="0" wrapText="0" indent="0" justifyLastLine="0" shrinkToFit="0" readingOrder="0"/>
    </dxf>
    <dxf>
      <border>
        <bottom style="medium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fill>
        <patternFill patternType="solid">
          <fgColor indexed="64"/>
          <bgColor rgb="FFFF9900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/>
        <vertical/>
        <horizontal/>
      </border>
    </dxf>
    <dxf>
      <fill>
        <patternFill>
          <bgColor theme="2" tint="-9.9948118533890809E-2"/>
        </patternFill>
      </fill>
    </dxf>
    <dxf>
      <fill>
        <patternFill>
          <bgColor theme="2" tint="-0.24994659260841701"/>
        </patternFill>
      </fill>
    </dxf>
    <dxf>
      <font>
        <b/>
        <i val="0"/>
        <color rgb="FFFF0000"/>
      </font>
    </dxf>
    <dxf>
      <font>
        <b/>
        <i val="0"/>
        <color theme="7" tint="-0.24994659260841701"/>
      </font>
      <fill>
        <patternFill>
          <bgColor theme="7" tint="0.59996337778862885"/>
        </patternFill>
      </fill>
    </dxf>
    <dxf>
      <font>
        <b/>
        <i val="0"/>
        <color theme="9" tint="-0.24994659260841701"/>
      </font>
    </dxf>
    <dxf>
      <font>
        <strike val="0"/>
        <outline val="0"/>
        <shadow val="0"/>
        <u val="none"/>
        <vertAlign val="baseline"/>
        <sz val="10"/>
        <color theme="1"/>
        <name val="Calibri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</font>
      <numFmt numFmtId="165" formatCode="_ [$Rs.-4009]\ * #,##0_ ;_ [$Rs.-4009]\ * \-#,##0_ ;_ [$Rs.-4009]\ * &quot;-&quot;??_ ;_ @_ 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</font>
      <numFmt numFmtId="165" formatCode="_ [$Rs.-4009]\ * #,##0_ ;_ [$Rs.-4009]\ * \-#,##0_ ;_ [$Rs.-4009]\ * &quot;-&quot;??_ ;_ @_ 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</font>
      <numFmt numFmtId="166" formatCode="_ [$Rs.-4009]\ * #,##0_ ;_ [$Rs.-4009]\ * \-#,##0_ ;_ [$Rs.-4009]\ * &quot;-&quot;_ ;_ @_ 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</font>
      <numFmt numFmtId="165" formatCode="_ [$Rs.-4009]\ * #,##0_ ;_ [$Rs.-4009]\ * \-#,##0_ ;_ [$Rs.-4009]\ * &quot;-&quot;??_ ;_ @_ 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</font>
      <numFmt numFmtId="0" formatCode="General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67" formatCode="dd/mm/yy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border diagonalUp="0" diagonalDown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alibri"/>
      </font>
      <alignment horizontal="center" vertical="center" textRotation="0" wrapText="0" indent="0" justifyLastLine="0" shrinkToFit="0" readingOrder="0"/>
    </dxf>
    <dxf>
      <border>
        <bottom style="medium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fill>
        <patternFill patternType="solid">
          <fgColor indexed="64"/>
          <bgColor rgb="FFFF9900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/>
        <vertical/>
        <horizontal/>
      </border>
    </dxf>
    <dxf>
      <fill>
        <patternFill>
          <bgColor theme="2" tint="-9.9948118533890809E-2"/>
        </patternFill>
      </fill>
    </dxf>
    <dxf>
      <fill>
        <patternFill>
          <bgColor theme="2" tint="-0.24994659260841701"/>
        </patternFill>
      </fill>
    </dxf>
    <dxf>
      <font>
        <b/>
        <i val="0"/>
        <color rgb="FFFF0000"/>
      </font>
    </dxf>
    <dxf>
      <font>
        <b/>
        <i val="0"/>
        <color theme="7" tint="-0.24994659260841701"/>
      </font>
      <fill>
        <patternFill>
          <bgColor theme="7" tint="0.59996337778862885"/>
        </patternFill>
      </fill>
    </dxf>
    <dxf>
      <font>
        <b/>
        <i val="0"/>
        <color theme="9" tint="-0.24994659260841701"/>
      </font>
    </dxf>
    <dxf>
      <font>
        <strike val="0"/>
        <outline val="0"/>
        <shadow val="0"/>
        <u val="none"/>
        <vertAlign val="baseline"/>
        <sz val="10"/>
        <color theme="1"/>
        <name val="Calibri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</font>
      <numFmt numFmtId="165" formatCode="_ [$Rs.-4009]\ * #,##0_ ;_ [$Rs.-4009]\ * \-#,##0_ ;_ [$Rs.-4009]\ * &quot;-&quot;??_ ;_ @_ 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</font>
      <numFmt numFmtId="165" formatCode="_ [$Rs.-4009]\ * #,##0_ ;_ [$Rs.-4009]\ * \-#,##0_ ;_ [$Rs.-4009]\ * &quot;-&quot;??_ ;_ @_ 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</font>
      <numFmt numFmtId="166" formatCode="_ [$Rs.-4009]\ * #,##0_ ;_ [$Rs.-4009]\ * \-#,##0_ ;_ [$Rs.-4009]\ * &quot;-&quot;_ ;_ @_ 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</font>
      <numFmt numFmtId="165" formatCode="_ [$Rs.-4009]\ * #,##0_ ;_ [$Rs.-4009]\ * \-#,##0_ ;_ [$Rs.-4009]\ * &quot;-&quot;??_ ;_ @_ 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</font>
      <numFmt numFmtId="0" formatCode="General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67" formatCode="dd/mm/yy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border diagonalUp="0" diagonalDown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alibri"/>
      </font>
      <alignment horizontal="center" vertical="center" textRotation="0" wrapText="0" indent="0" justifyLastLine="0" shrinkToFit="0" readingOrder="0"/>
    </dxf>
    <dxf>
      <border>
        <bottom style="medium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fill>
        <patternFill patternType="solid">
          <fgColor indexed="64"/>
          <bgColor rgb="FFFF9900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/>
        <vertical/>
        <horizontal/>
      </border>
    </dxf>
    <dxf>
      <fill>
        <patternFill>
          <bgColor theme="2" tint="-9.9948118533890809E-2"/>
        </patternFill>
      </fill>
    </dxf>
    <dxf>
      <fill>
        <patternFill>
          <bgColor theme="2" tint="-0.24994659260841701"/>
        </patternFill>
      </fill>
    </dxf>
    <dxf>
      <font>
        <b/>
        <i val="0"/>
        <color rgb="FFFF0000"/>
      </font>
    </dxf>
    <dxf>
      <font>
        <b/>
        <i val="0"/>
        <color theme="7" tint="-0.24994659260841701"/>
      </font>
      <fill>
        <patternFill>
          <bgColor theme="7" tint="0.59996337778862885"/>
        </patternFill>
      </fill>
    </dxf>
    <dxf>
      <font>
        <b/>
        <i val="0"/>
        <color theme="9" tint="-0.24994659260841701"/>
      </font>
    </dxf>
    <dxf>
      <font>
        <strike val="0"/>
        <outline val="0"/>
        <shadow val="0"/>
        <u val="none"/>
        <vertAlign val="baseline"/>
        <sz val="10"/>
        <color theme="1"/>
        <name val="Calibri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</font>
      <numFmt numFmtId="165" formatCode="_ [$Rs.-4009]\ * #,##0_ ;_ [$Rs.-4009]\ * \-#,##0_ ;_ [$Rs.-4009]\ * &quot;-&quot;??_ ;_ @_ 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</font>
      <numFmt numFmtId="165" formatCode="_ [$Rs.-4009]\ * #,##0_ ;_ [$Rs.-4009]\ * \-#,##0_ ;_ [$Rs.-4009]\ * &quot;-&quot;??_ ;_ @_ 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</font>
      <numFmt numFmtId="166" formatCode="_ [$Rs.-4009]\ * #,##0_ ;_ [$Rs.-4009]\ * \-#,##0_ ;_ [$Rs.-4009]\ * &quot;-&quot;_ ;_ @_ 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</font>
      <numFmt numFmtId="165" formatCode="_ [$Rs.-4009]\ * #,##0_ ;_ [$Rs.-4009]\ * \-#,##0_ ;_ [$Rs.-4009]\ * &quot;-&quot;??_ ;_ @_ 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</font>
      <numFmt numFmtId="0" formatCode="General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67" formatCode="dd/mm/yy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border diagonalUp="0" diagonalDown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alibri"/>
      </font>
      <alignment horizontal="center" vertical="center" textRotation="0" wrapText="0" indent="0" justifyLastLine="0" shrinkToFit="0" readingOrder="0"/>
    </dxf>
    <dxf>
      <border>
        <bottom style="medium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fill>
        <patternFill patternType="solid">
          <fgColor indexed="64"/>
          <bgColor rgb="FFFF9900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/>
        <vertical/>
        <horizontal/>
      </border>
    </dxf>
    <dxf>
      <fill>
        <patternFill>
          <bgColor theme="2" tint="-9.9948118533890809E-2"/>
        </patternFill>
      </fill>
    </dxf>
    <dxf>
      <fill>
        <patternFill>
          <bgColor theme="2" tint="-0.24994659260841701"/>
        </patternFill>
      </fill>
    </dxf>
    <dxf>
      <font>
        <b/>
        <i val="0"/>
        <color rgb="FFFF0000"/>
      </font>
    </dxf>
    <dxf>
      <font>
        <b/>
        <i val="0"/>
        <color theme="7" tint="-0.24994659260841701"/>
      </font>
      <fill>
        <patternFill>
          <bgColor theme="7" tint="0.59996337778862885"/>
        </patternFill>
      </fill>
    </dxf>
    <dxf>
      <font>
        <b/>
        <i val="0"/>
        <color theme="9" tint="-0.24994659260841701"/>
      </font>
    </dxf>
    <dxf>
      <font>
        <strike val="0"/>
        <outline val="0"/>
        <shadow val="0"/>
        <u val="none"/>
        <vertAlign val="baseline"/>
        <sz val="10"/>
        <color theme="1"/>
        <name val="Calibri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</font>
      <numFmt numFmtId="165" formatCode="_ [$Rs.-4009]\ * #,##0_ ;_ [$Rs.-4009]\ * \-#,##0_ ;_ [$Rs.-4009]\ * &quot;-&quot;??_ ;_ @_ 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</font>
      <numFmt numFmtId="165" formatCode="_ [$Rs.-4009]\ * #,##0_ ;_ [$Rs.-4009]\ * \-#,##0_ ;_ [$Rs.-4009]\ * &quot;-&quot;??_ ;_ @_ 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</font>
      <numFmt numFmtId="166" formatCode="_ [$Rs.-4009]\ * #,##0_ ;_ [$Rs.-4009]\ * \-#,##0_ ;_ [$Rs.-4009]\ * &quot;-&quot;_ ;_ @_ 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</font>
      <numFmt numFmtId="165" formatCode="_ [$Rs.-4009]\ * #,##0_ ;_ [$Rs.-4009]\ * \-#,##0_ ;_ [$Rs.-4009]\ * &quot;-&quot;??_ ;_ @_ 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</font>
      <numFmt numFmtId="0" formatCode="General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67" formatCode="dd/mm/yy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border diagonalUp="0" diagonalDown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alibri"/>
      </font>
      <alignment horizontal="center" vertical="center" textRotation="0" wrapText="0" indent="0" justifyLastLine="0" shrinkToFit="0" readingOrder="0"/>
    </dxf>
    <dxf>
      <border>
        <bottom style="medium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fill>
        <patternFill patternType="solid">
          <fgColor indexed="64"/>
          <bgColor rgb="FFFF9900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/>
        <vertical/>
        <horizontal/>
      </border>
    </dxf>
    <dxf>
      <fill>
        <patternFill>
          <bgColor theme="2" tint="-9.9948118533890809E-2"/>
        </patternFill>
      </fill>
    </dxf>
    <dxf>
      <fill>
        <patternFill>
          <bgColor theme="2" tint="-0.24994659260841701"/>
        </patternFill>
      </fill>
    </dxf>
    <dxf>
      <font>
        <b/>
        <i val="0"/>
        <color rgb="FFFF0000"/>
      </font>
    </dxf>
    <dxf>
      <font>
        <b/>
        <i val="0"/>
        <color theme="7" tint="-0.24994659260841701"/>
      </font>
      <fill>
        <patternFill>
          <bgColor theme="7" tint="0.59996337778862885"/>
        </patternFill>
      </fill>
    </dxf>
    <dxf>
      <font>
        <b/>
        <i val="0"/>
        <color theme="9" tint="-0.24994659260841701"/>
      </font>
    </dxf>
  </dxfs>
  <tableStyles count="0" defaultTableStyle="TableStyleMedium2" defaultPivotStyle="PivotStyleLight16"/>
  <colors>
    <mruColors>
      <color rgb="FFFF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#JUN!A1"/><Relationship Id="rId13" Type="http://schemas.openxmlformats.org/officeDocument/2006/relationships/image" Target="../media/image1.png"/><Relationship Id="rId3" Type="http://schemas.openxmlformats.org/officeDocument/2006/relationships/hyperlink" Target="#AUG!A1"/><Relationship Id="rId7" Type="http://schemas.openxmlformats.org/officeDocument/2006/relationships/hyperlink" Target="#MAY!A1"/><Relationship Id="rId12" Type="http://schemas.openxmlformats.org/officeDocument/2006/relationships/hyperlink" Target="#DEC!A1"/><Relationship Id="rId2" Type="http://schemas.openxmlformats.org/officeDocument/2006/relationships/hyperlink" Target="#JUL!A1"/><Relationship Id="rId1" Type="http://schemas.openxmlformats.org/officeDocument/2006/relationships/hyperlink" Target="#JAN!A1"/><Relationship Id="rId6" Type="http://schemas.openxmlformats.org/officeDocument/2006/relationships/hyperlink" Target="#FEB!A1"/><Relationship Id="rId11" Type="http://schemas.openxmlformats.org/officeDocument/2006/relationships/hyperlink" Target="#NOV!A1"/><Relationship Id="rId5" Type="http://schemas.openxmlformats.org/officeDocument/2006/relationships/hyperlink" Target="#APR!A1"/><Relationship Id="rId10" Type="http://schemas.openxmlformats.org/officeDocument/2006/relationships/hyperlink" Target="#OCT!A1"/><Relationship Id="rId4" Type="http://schemas.openxmlformats.org/officeDocument/2006/relationships/hyperlink" Target="#MAR!A1"/><Relationship Id="rId9" Type="http://schemas.openxmlformats.org/officeDocument/2006/relationships/hyperlink" Target="#SEP!A1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hyperlink" Target="#JUN!A1"/><Relationship Id="rId13" Type="http://schemas.openxmlformats.org/officeDocument/2006/relationships/image" Target="../media/image1.png"/><Relationship Id="rId3" Type="http://schemas.openxmlformats.org/officeDocument/2006/relationships/hyperlink" Target="#AUG!A1"/><Relationship Id="rId7" Type="http://schemas.openxmlformats.org/officeDocument/2006/relationships/hyperlink" Target="#MAY!A1"/><Relationship Id="rId12" Type="http://schemas.openxmlformats.org/officeDocument/2006/relationships/hyperlink" Target="#DEC!A1"/><Relationship Id="rId2" Type="http://schemas.openxmlformats.org/officeDocument/2006/relationships/hyperlink" Target="#JUL!A1"/><Relationship Id="rId1" Type="http://schemas.openxmlformats.org/officeDocument/2006/relationships/hyperlink" Target="#JAN!A1"/><Relationship Id="rId6" Type="http://schemas.openxmlformats.org/officeDocument/2006/relationships/hyperlink" Target="#FEB!A1"/><Relationship Id="rId11" Type="http://schemas.openxmlformats.org/officeDocument/2006/relationships/hyperlink" Target="#NOV!A1"/><Relationship Id="rId5" Type="http://schemas.openxmlformats.org/officeDocument/2006/relationships/hyperlink" Target="#APR!A1"/><Relationship Id="rId10" Type="http://schemas.openxmlformats.org/officeDocument/2006/relationships/hyperlink" Target="#OCT!A1"/><Relationship Id="rId4" Type="http://schemas.openxmlformats.org/officeDocument/2006/relationships/hyperlink" Target="#MAR!A1"/><Relationship Id="rId9" Type="http://schemas.openxmlformats.org/officeDocument/2006/relationships/hyperlink" Target="#SEP!A1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hyperlink" Target="#JUN!A1"/><Relationship Id="rId13" Type="http://schemas.openxmlformats.org/officeDocument/2006/relationships/image" Target="../media/image1.png"/><Relationship Id="rId3" Type="http://schemas.openxmlformats.org/officeDocument/2006/relationships/hyperlink" Target="#AUG!A1"/><Relationship Id="rId7" Type="http://schemas.openxmlformats.org/officeDocument/2006/relationships/hyperlink" Target="#MAY!A1"/><Relationship Id="rId12" Type="http://schemas.openxmlformats.org/officeDocument/2006/relationships/hyperlink" Target="#DEC!A1"/><Relationship Id="rId2" Type="http://schemas.openxmlformats.org/officeDocument/2006/relationships/hyperlink" Target="#JUL!A1"/><Relationship Id="rId1" Type="http://schemas.openxmlformats.org/officeDocument/2006/relationships/hyperlink" Target="#JAN!A1"/><Relationship Id="rId6" Type="http://schemas.openxmlformats.org/officeDocument/2006/relationships/hyperlink" Target="#FEB!A1"/><Relationship Id="rId11" Type="http://schemas.openxmlformats.org/officeDocument/2006/relationships/hyperlink" Target="#NOV!A1"/><Relationship Id="rId5" Type="http://schemas.openxmlformats.org/officeDocument/2006/relationships/hyperlink" Target="#APR!A1"/><Relationship Id="rId10" Type="http://schemas.openxmlformats.org/officeDocument/2006/relationships/hyperlink" Target="#OCT!A1"/><Relationship Id="rId4" Type="http://schemas.openxmlformats.org/officeDocument/2006/relationships/hyperlink" Target="#MAR!A1"/><Relationship Id="rId9" Type="http://schemas.openxmlformats.org/officeDocument/2006/relationships/hyperlink" Target="#SEP!A1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hyperlink" Target="#JUN!A1"/><Relationship Id="rId13" Type="http://schemas.openxmlformats.org/officeDocument/2006/relationships/image" Target="../media/image1.png"/><Relationship Id="rId3" Type="http://schemas.openxmlformats.org/officeDocument/2006/relationships/hyperlink" Target="#AUG!A1"/><Relationship Id="rId7" Type="http://schemas.openxmlformats.org/officeDocument/2006/relationships/hyperlink" Target="#MAY!A1"/><Relationship Id="rId12" Type="http://schemas.openxmlformats.org/officeDocument/2006/relationships/hyperlink" Target="#DEC!A1"/><Relationship Id="rId2" Type="http://schemas.openxmlformats.org/officeDocument/2006/relationships/hyperlink" Target="#JUL!A1"/><Relationship Id="rId1" Type="http://schemas.openxmlformats.org/officeDocument/2006/relationships/hyperlink" Target="#JAN!A1"/><Relationship Id="rId6" Type="http://schemas.openxmlformats.org/officeDocument/2006/relationships/hyperlink" Target="#FEB!A1"/><Relationship Id="rId11" Type="http://schemas.openxmlformats.org/officeDocument/2006/relationships/hyperlink" Target="#NOV!A1"/><Relationship Id="rId5" Type="http://schemas.openxmlformats.org/officeDocument/2006/relationships/hyperlink" Target="#APR!A1"/><Relationship Id="rId10" Type="http://schemas.openxmlformats.org/officeDocument/2006/relationships/hyperlink" Target="#OCT!A1"/><Relationship Id="rId4" Type="http://schemas.openxmlformats.org/officeDocument/2006/relationships/hyperlink" Target="#MAR!A1"/><Relationship Id="rId9" Type="http://schemas.openxmlformats.org/officeDocument/2006/relationships/hyperlink" Target="#SEP!A1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hyperlink" Target="#JUN!A1"/><Relationship Id="rId13" Type="http://schemas.openxmlformats.org/officeDocument/2006/relationships/image" Target="../media/image1.png"/><Relationship Id="rId3" Type="http://schemas.openxmlformats.org/officeDocument/2006/relationships/hyperlink" Target="#AUG!A1"/><Relationship Id="rId7" Type="http://schemas.openxmlformats.org/officeDocument/2006/relationships/hyperlink" Target="#MAY!A1"/><Relationship Id="rId12" Type="http://schemas.openxmlformats.org/officeDocument/2006/relationships/hyperlink" Target="#DEC!A1"/><Relationship Id="rId2" Type="http://schemas.openxmlformats.org/officeDocument/2006/relationships/hyperlink" Target="#JUL!A1"/><Relationship Id="rId1" Type="http://schemas.openxmlformats.org/officeDocument/2006/relationships/hyperlink" Target="#JAN!A1"/><Relationship Id="rId6" Type="http://schemas.openxmlformats.org/officeDocument/2006/relationships/hyperlink" Target="#FEB!A1"/><Relationship Id="rId11" Type="http://schemas.openxmlformats.org/officeDocument/2006/relationships/hyperlink" Target="#NOV!A1"/><Relationship Id="rId5" Type="http://schemas.openxmlformats.org/officeDocument/2006/relationships/hyperlink" Target="#APR!A1"/><Relationship Id="rId10" Type="http://schemas.openxmlformats.org/officeDocument/2006/relationships/hyperlink" Target="#OCT!A1"/><Relationship Id="rId4" Type="http://schemas.openxmlformats.org/officeDocument/2006/relationships/hyperlink" Target="#MAR!A1"/><Relationship Id="rId9" Type="http://schemas.openxmlformats.org/officeDocument/2006/relationships/hyperlink" Target="#SEP!A1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hyperlink" Target="#JUN!A1"/><Relationship Id="rId13" Type="http://schemas.openxmlformats.org/officeDocument/2006/relationships/image" Target="../media/image1.png"/><Relationship Id="rId3" Type="http://schemas.openxmlformats.org/officeDocument/2006/relationships/hyperlink" Target="#AUG!A1"/><Relationship Id="rId7" Type="http://schemas.openxmlformats.org/officeDocument/2006/relationships/hyperlink" Target="#MAY!A1"/><Relationship Id="rId12" Type="http://schemas.openxmlformats.org/officeDocument/2006/relationships/hyperlink" Target="#DEC!A1"/><Relationship Id="rId2" Type="http://schemas.openxmlformats.org/officeDocument/2006/relationships/hyperlink" Target="#JUL!A1"/><Relationship Id="rId1" Type="http://schemas.openxmlformats.org/officeDocument/2006/relationships/hyperlink" Target="#JAN!A1"/><Relationship Id="rId6" Type="http://schemas.openxmlformats.org/officeDocument/2006/relationships/hyperlink" Target="#FEB!A1"/><Relationship Id="rId11" Type="http://schemas.openxmlformats.org/officeDocument/2006/relationships/hyperlink" Target="#NOV!A1"/><Relationship Id="rId5" Type="http://schemas.openxmlformats.org/officeDocument/2006/relationships/hyperlink" Target="#APR!A1"/><Relationship Id="rId10" Type="http://schemas.openxmlformats.org/officeDocument/2006/relationships/hyperlink" Target="#OCT!A1"/><Relationship Id="rId4" Type="http://schemas.openxmlformats.org/officeDocument/2006/relationships/hyperlink" Target="#MAR!A1"/><Relationship Id="rId9" Type="http://schemas.openxmlformats.org/officeDocument/2006/relationships/hyperlink" Target="#SEP!A1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hyperlink" Target="#JUN!A1"/><Relationship Id="rId13" Type="http://schemas.openxmlformats.org/officeDocument/2006/relationships/image" Target="../media/image1.png"/><Relationship Id="rId3" Type="http://schemas.openxmlformats.org/officeDocument/2006/relationships/hyperlink" Target="#AUG!A1"/><Relationship Id="rId7" Type="http://schemas.openxmlformats.org/officeDocument/2006/relationships/hyperlink" Target="#MAY!A1"/><Relationship Id="rId12" Type="http://schemas.openxmlformats.org/officeDocument/2006/relationships/hyperlink" Target="#DEC!A1"/><Relationship Id="rId2" Type="http://schemas.openxmlformats.org/officeDocument/2006/relationships/hyperlink" Target="#JUL!A1"/><Relationship Id="rId1" Type="http://schemas.openxmlformats.org/officeDocument/2006/relationships/hyperlink" Target="#JAN!A1"/><Relationship Id="rId6" Type="http://schemas.openxmlformats.org/officeDocument/2006/relationships/hyperlink" Target="#FEB!A1"/><Relationship Id="rId11" Type="http://schemas.openxmlformats.org/officeDocument/2006/relationships/hyperlink" Target="#NOV!A1"/><Relationship Id="rId5" Type="http://schemas.openxmlformats.org/officeDocument/2006/relationships/hyperlink" Target="#APR!A1"/><Relationship Id="rId10" Type="http://schemas.openxmlformats.org/officeDocument/2006/relationships/hyperlink" Target="#OCT!A1"/><Relationship Id="rId4" Type="http://schemas.openxmlformats.org/officeDocument/2006/relationships/hyperlink" Target="#MAR!A1"/><Relationship Id="rId9" Type="http://schemas.openxmlformats.org/officeDocument/2006/relationships/hyperlink" Target="#SEP!A1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hyperlink" Target="#JUN!A1"/><Relationship Id="rId13" Type="http://schemas.openxmlformats.org/officeDocument/2006/relationships/image" Target="../media/image1.png"/><Relationship Id="rId3" Type="http://schemas.openxmlformats.org/officeDocument/2006/relationships/hyperlink" Target="#AUG!A1"/><Relationship Id="rId7" Type="http://schemas.openxmlformats.org/officeDocument/2006/relationships/hyperlink" Target="#MAY!A1"/><Relationship Id="rId12" Type="http://schemas.openxmlformats.org/officeDocument/2006/relationships/hyperlink" Target="#DEC!A1"/><Relationship Id="rId2" Type="http://schemas.openxmlformats.org/officeDocument/2006/relationships/hyperlink" Target="#JUL!A1"/><Relationship Id="rId1" Type="http://schemas.openxmlformats.org/officeDocument/2006/relationships/hyperlink" Target="#JAN!A1"/><Relationship Id="rId6" Type="http://schemas.openxmlformats.org/officeDocument/2006/relationships/hyperlink" Target="#FEB!A1"/><Relationship Id="rId11" Type="http://schemas.openxmlformats.org/officeDocument/2006/relationships/hyperlink" Target="#NOV!A1"/><Relationship Id="rId5" Type="http://schemas.openxmlformats.org/officeDocument/2006/relationships/hyperlink" Target="#APR!A1"/><Relationship Id="rId10" Type="http://schemas.openxmlformats.org/officeDocument/2006/relationships/hyperlink" Target="#OCT!A1"/><Relationship Id="rId4" Type="http://schemas.openxmlformats.org/officeDocument/2006/relationships/hyperlink" Target="#MAR!A1"/><Relationship Id="rId9" Type="http://schemas.openxmlformats.org/officeDocument/2006/relationships/hyperlink" Target="#SEP!A1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hyperlink" Target="#JUN!A1"/><Relationship Id="rId13" Type="http://schemas.openxmlformats.org/officeDocument/2006/relationships/image" Target="../media/image1.png"/><Relationship Id="rId3" Type="http://schemas.openxmlformats.org/officeDocument/2006/relationships/hyperlink" Target="#AUG!A1"/><Relationship Id="rId7" Type="http://schemas.openxmlformats.org/officeDocument/2006/relationships/hyperlink" Target="#MAY!A1"/><Relationship Id="rId12" Type="http://schemas.openxmlformats.org/officeDocument/2006/relationships/hyperlink" Target="#DEC!A1"/><Relationship Id="rId2" Type="http://schemas.openxmlformats.org/officeDocument/2006/relationships/hyperlink" Target="#JUL!A1"/><Relationship Id="rId1" Type="http://schemas.openxmlformats.org/officeDocument/2006/relationships/hyperlink" Target="#JAN!A1"/><Relationship Id="rId6" Type="http://schemas.openxmlformats.org/officeDocument/2006/relationships/hyperlink" Target="#FEB!A1"/><Relationship Id="rId11" Type="http://schemas.openxmlformats.org/officeDocument/2006/relationships/hyperlink" Target="#NOV!A1"/><Relationship Id="rId5" Type="http://schemas.openxmlformats.org/officeDocument/2006/relationships/hyperlink" Target="#APR!A1"/><Relationship Id="rId10" Type="http://schemas.openxmlformats.org/officeDocument/2006/relationships/hyperlink" Target="#OCT!A1"/><Relationship Id="rId4" Type="http://schemas.openxmlformats.org/officeDocument/2006/relationships/hyperlink" Target="#MAR!A1"/><Relationship Id="rId9" Type="http://schemas.openxmlformats.org/officeDocument/2006/relationships/hyperlink" Target="#SEP!A1"/></Relationships>
</file>

<file path=xl/drawings/_rels/drawing10.xml.rels><?xml version="1.0" encoding="UTF-8" standalone="yes"?>
<Relationships xmlns="http://schemas.openxmlformats.org/package/2006/relationships"><Relationship Id="rId8" Type="http://schemas.openxmlformats.org/officeDocument/2006/relationships/hyperlink" Target="#JUN!A1"/><Relationship Id="rId13" Type="http://schemas.openxmlformats.org/officeDocument/2006/relationships/image" Target="../media/image1.png"/><Relationship Id="rId3" Type="http://schemas.openxmlformats.org/officeDocument/2006/relationships/hyperlink" Target="#AUG!A1"/><Relationship Id="rId7" Type="http://schemas.openxmlformats.org/officeDocument/2006/relationships/hyperlink" Target="#MAY!A1"/><Relationship Id="rId12" Type="http://schemas.openxmlformats.org/officeDocument/2006/relationships/hyperlink" Target="#DEC!A1"/><Relationship Id="rId2" Type="http://schemas.openxmlformats.org/officeDocument/2006/relationships/hyperlink" Target="#JUL!A1"/><Relationship Id="rId1" Type="http://schemas.openxmlformats.org/officeDocument/2006/relationships/hyperlink" Target="#JAN!A1"/><Relationship Id="rId6" Type="http://schemas.openxmlformats.org/officeDocument/2006/relationships/hyperlink" Target="#FEB!A1"/><Relationship Id="rId11" Type="http://schemas.openxmlformats.org/officeDocument/2006/relationships/hyperlink" Target="#NOV!A1"/><Relationship Id="rId5" Type="http://schemas.openxmlformats.org/officeDocument/2006/relationships/hyperlink" Target="#APR!A1"/><Relationship Id="rId10" Type="http://schemas.openxmlformats.org/officeDocument/2006/relationships/hyperlink" Target="#OCT!A1"/><Relationship Id="rId4" Type="http://schemas.openxmlformats.org/officeDocument/2006/relationships/hyperlink" Target="#MAR!A1"/><Relationship Id="rId9" Type="http://schemas.openxmlformats.org/officeDocument/2006/relationships/hyperlink" Target="#SEP!A1"/></Relationships>
</file>

<file path=xl/drawings/_rels/drawing11.xml.rels><?xml version="1.0" encoding="UTF-8" standalone="yes"?>
<Relationships xmlns="http://schemas.openxmlformats.org/package/2006/relationships"><Relationship Id="rId8" Type="http://schemas.openxmlformats.org/officeDocument/2006/relationships/hyperlink" Target="#JUN!A1"/><Relationship Id="rId13" Type="http://schemas.openxmlformats.org/officeDocument/2006/relationships/image" Target="../media/image1.png"/><Relationship Id="rId3" Type="http://schemas.openxmlformats.org/officeDocument/2006/relationships/hyperlink" Target="#AUG!A1"/><Relationship Id="rId7" Type="http://schemas.openxmlformats.org/officeDocument/2006/relationships/hyperlink" Target="#MAY!A1"/><Relationship Id="rId12" Type="http://schemas.openxmlformats.org/officeDocument/2006/relationships/hyperlink" Target="#DEC!A1"/><Relationship Id="rId2" Type="http://schemas.openxmlformats.org/officeDocument/2006/relationships/hyperlink" Target="#JUL!A1"/><Relationship Id="rId1" Type="http://schemas.openxmlformats.org/officeDocument/2006/relationships/hyperlink" Target="#JAN!A1"/><Relationship Id="rId6" Type="http://schemas.openxmlformats.org/officeDocument/2006/relationships/hyperlink" Target="#FEB!A1"/><Relationship Id="rId11" Type="http://schemas.openxmlformats.org/officeDocument/2006/relationships/hyperlink" Target="#NOV!A1"/><Relationship Id="rId5" Type="http://schemas.openxmlformats.org/officeDocument/2006/relationships/hyperlink" Target="#APR!A1"/><Relationship Id="rId10" Type="http://schemas.openxmlformats.org/officeDocument/2006/relationships/hyperlink" Target="#OCT!A1"/><Relationship Id="rId4" Type="http://schemas.openxmlformats.org/officeDocument/2006/relationships/hyperlink" Target="#MAR!A1"/><Relationship Id="rId9" Type="http://schemas.openxmlformats.org/officeDocument/2006/relationships/hyperlink" Target="#SEP!A1"/></Relationships>
</file>

<file path=xl/drawings/_rels/drawing12.xml.rels><?xml version="1.0" encoding="UTF-8" standalone="yes"?>
<Relationships xmlns="http://schemas.openxmlformats.org/package/2006/relationships"><Relationship Id="rId8" Type="http://schemas.openxmlformats.org/officeDocument/2006/relationships/hyperlink" Target="#JUN!A1"/><Relationship Id="rId13" Type="http://schemas.openxmlformats.org/officeDocument/2006/relationships/image" Target="../media/image1.png"/><Relationship Id="rId3" Type="http://schemas.openxmlformats.org/officeDocument/2006/relationships/hyperlink" Target="#AUG!A1"/><Relationship Id="rId7" Type="http://schemas.openxmlformats.org/officeDocument/2006/relationships/hyperlink" Target="#MAY!A1"/><Relationship Id="rId12" Type="http://schemas.openxmlformats.org/officeDocument/2006/relationships/hyperlink" Target="#DEC!A1"/><Relationship Id="rId2" Type="http://schemas.openxmlformats.org/officeDocument/2006/relationships/hyperlink" Target="#JUL!A1"/><Relationship Id="rId1" Type="http://schemas.openxmlformats.org/officeDocument/2006/relationships/hyperlink" Target="#JAN!A1"/><Relationship Id="rId6" Type="http://schemas.openxmlformats.org/officeDocument/2006/relationships/hyperlink" Target="#FEB!A1"/><Relationship Id="rId11" Type="http://schemas.openxmlformats.org/officeDocument/2006/relationships/hyperlink" Target="#NOV!A1"/><Relationship Id="rId5" Type="http://schemas.openxmlformats.org/officeDocument/2006/relationships/hyperlink" Target="#APR!A1"/><Relationship Id="rId10" Type="http://schemas.openxmlformats.org/officeDocument/2006/relationships/hyperlink" Target="#OCT!A1"/><Relationship Id="rId4" Type="http://schemas.openxmlformats.org/officeDocument/2006/relationships/hyperlink" Target="#MAR!A1"/><Relationship Id="rId9" Type="http://schemas.openxmlformats.org/officeDocument/2006/relationships/hyperlink" Target="#SEP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</xdr:rowOff>
    </xdr:from>
    <xdr:to>
      <xdr:col>2</xdr:col>
      <xdr:colOff>590550</xdr:colOff>
      <xdr:row>28</xdr:row>
      <xdr:rowOff>127775</xdr:rowOff>
    </xdr:to>
    <xdr:sp macro="" textlink="">
      <xdr:nvSpPr>
        <xdr:cNvPr id="2" name="Rectangle 1"/>
        <xdr:cNvSpPr/>
      </xdr:nvSpPr>
      <xdr:spPr>
        <a:xfrm>
          <a:off x="0" y="1"/>
          <a:ext cx="1798599" cy="5424603"/>
        </a:xfrm>
        <a:prstGeom prst="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b="1"/>
        </a:p>
      </xdr:txBody>
    </xdr:sp>
    <xdr:clientData/>
  </xdr:twoCellAnchor>
  <xdr:twoCellAnchor>
    <xdr:from>
      <xdr:col>2</xdr:col>
      <xdr:colOff>492672</xdr:colOff>
      <xdr:row>0</xdr:row>
      <xdr:rowOff>10467</xdr:rowOff>
    </xdr:from>
    <xdr:to>
      <xdr:col>40</xdr:col>
      <xdr:colOff>296883</xdr:colOff>
      <xdr:row>3</xdr:row>
      <xdr:rowOff>34889</xdr:rowOff>
    </xdr:to>
    <xdr:sp macro="" textlink="">
      <xdr:nvSpPr>
        <xdr:cNvPr id="3" name="Rectangle 2"/>
        <xdr:cNvSpPr/>
      </xdr:nvSpPr>
      <xdr:spPr>
        <a:xfrm>
          <a:off x="1704945" y="10467"/>
          <a:ext cx="14685477" cy="581078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9525</xdr:colOff>
      <xdr:row>3</xdr:row>
      <xdr:rowOff>149714</xdr:rowOff>
    </xdr:from>
    <xdr:to>
      <xdr:col>4</xdr:col>
      <xdr:colOff>171450</xdr:colOff>
      <xdr:row>5</xdr:row>
      <xdr:rowOff>140190</xdr:rowOff>
    </xdr:to>
    <xdr:sp macro="" textlink="">
      <xdr:nvSpPr>
        <xdr:cNvPr id="4" name="Rounded Rectangle 3">
          <a:hlinkClick xmlns:r="http://schemas.openxmlformats.org/officeDocument/2006/relationships" r:id="rId1"/>
        </xdr:cNvPr>
        <xdr:cNvSpPr/>
      </xdr:nvSpPr>
      <xdr:spPr>
        <a:xfrm>
          <a:off x="619125" y="721214"/>
          <a:ext cx="1990725" cy="390526"/>
        </a:xfrm>
        <a:prstGeom prst="roundRect">
          <a:avLst/>
        </a:prstGeom>
        <a:solidFill>
          <a:schemeClr val="bg2">
            <a:lumMod val="9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 b="1">
              <a:solidFill>
                <a:schemeClr val="tx1"/>
              </a:solidFill>
            </a:rPr>
            <a:t>January</a:t>
          </a:r>
        </a:p>
      </xdr:txBody>
    </xdr:sp>
    <xdr:clientData/>
  </xdr:twoCellAnchor>
  <xdr:twoCellAnchor>
    <xdr:from>
      <xdr:col>0</xdr:col>
      <xdr:colOff>150935</xdr:colOff>
      <xdr:row>16</xdr:row>
      <xdr:rowOff>48846</xdr:rowOff>
    </xdr:from>
    <xdr:to>
      <xdr:col>3</xdr:col>
      <xdr:colOff>312860</xdr:colOff>
      <xdr:row>17</xdr:row>
      <xdr:rowOff>186105</xdr:rowOff>
    </xdr:to>
    <xdr:sp macro="" textlink="">
      <xdr:nvSpPr>
        <xdr:cNvPr id="17" name="Rounded Rectangle 16">
          <a:hlinkClick xmlns:r="http://schemas.openxmlformats.org/officeDocument/2006/relationships" r:id="rId2"/>
        </xdr:cNvPr>
        <xdr:cNvSpPr/>
      </xdr:nvSpPr>
      <xdr:spPr>
        <a:xfrm>
          <a:off x="150935" y="3173046"/>
          <a:ext cx="1990725" cy="327759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0">
              <a:solidFill>
                <a:schemeClr val="bg2">
                  <a:lumMod val="90000"/>
                </a:schemeClr>
              </a:solidFill>
            </a:rPr>
            <a:t>July</a:t>
          </a:r>
        </a:p>
      </xdr:txBody>
    </xdr:sp>
    <xdr:clientData/>
  </xdr:twoCellAnchor>
  <xdr:twoCellAnchor>
    <xdr:from>
      <xdr:col>0</xdr:col>
      <xdr:colOff>146783</xdr:colOff>
      <xdr:row>18</xdr:row>
      <xdr:rowOff>58371</xdr:rowOff>
    </xdr:from>
    <xdr:to>
      <xdr:col>3</xdr:col>
      <xdr:colOff>308708</xdr:colOff>
      <xdr:row>20</xdr:row>
      <xdr:rowOff>3419</xdr:rowOff>
    </xdr:to>
    <xdr:sp macro="" textlink="">
      <xdr:nvSpPr>
        <xdr:cNvPr id="18" name="Rounded Rectangle 17">
          <a:hlinkClick xmlns:r="http://schemas.openxmlformats.org/officeDocument/2006/relationships" r:id="rId3"/>
        </xdr:cNvPr>
        <xdr:cNvSpPr/>
      </xdr:nvSpPr>
      <xdr:spPr>
        <a:xfrm>
          <a:off x="146783" y="3563571"/>
          <a:ext cx="1990725" cy="326048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0">
              <a:solidFill>
                <a:schemeClr val="bg2">
                  <a:lumMod val="90000"/>
                </a:schemeClr>
              </a:solidFill>
            </a:rPr>
            <a:t>August</a:t>
          </a:r>
        </a:p>
      </xdr:txBody>
    </xdr:sp>
    <xdr:clientData/>
  </xdr:twoCellAnchor>
  <xdr:twoCellAnchor>
    <xdr:from>
      <xdr:col>0</xdr:col>
      <xdr:colOff>161682</xdr:colOff>
      <xdr:row>7</xdr:row>
      <xdr:rowOff>182197</xdr:rowOff>
    </xdr:from>
    <xdr:to>
      <xdr:col>3</xdr:col>
      <xdr:colOff>323607</xdr:colOff>
      <xdr:row>9</xdr:row>
      <xdr:rowOff>142875</xdr:rowOff>
    </xdr:to>
    <xdr:sp macro="" textlink="">
      <xdr:nvSpPr>
        <xdr:cNvPr id="26" name="Rounded Rectangle 25">
          <a:hlinkClick xmlns:r="http://schemas.openxmlformats.org/officeDocument/2006/relationships" r:id="rId4"/>
        </xdr:cNvPr>
        <xdr:cNvSpPr/>
      </xdr:nvSpPr>
      <xdr:spPr>
        <a:xfrm>
          <a:off x="161682" y="1591897"/>
          <a:ext cx="1990725" cy="341678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0">
              <a:solidFill>
                <a:schemeClr val="bg2">
                  <a:lumMod val="90000"/>
                </a:schemeClr>
              </a:solidFill>
            </a:rPr>
            <a:t>March</a:t>
          </a:r>
        </a:p>
      </xdr:txBody>
    </xdr:sp>
    <xdr:clientData/>
  </xdr:twoCellAnchor>
  <xdr:twoCellAnchor>
    <xdr:from>
      <xdr:col>0</xdr:col>
      <xdr:colOff>139944</xdr:colOff>
      <xdr:row>10</xdr:row>
      <xdr:rowOff>10745</xdr:rowOff>
    </xdr:from>
    <xdr:to>
      <xdr:col>3</xdr:col>
      <xdr:colOff>301869</xdr:colOff>
      <xdr:row>11</xdr:row>
      <xdr:rowOff>148003</xdr:rowOff>
    </xdr:to>
    <xdr:sp macro="" textlink="">
      <xdr:nvSpPr>
        <xdr:cNvPr id="27" name="Rounded Rectangle 26">
          <a:hlinkClick xmlns:r="http://schemas.openxmlformats.org/officeDocument/2006/relationships" r:id="rId5"/>
        </xdr:cNvPr>
        <xdr:cNvSpPr/>
      </xdr:nvSpPr>
      <xdr:spPr>
        <a:xfrm>
          <a:off x="139944" y="1991945"/>
          <a:ext cx="1990725" cy="327758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0">
              <a:solidFill>
                <a:schemeClr val="bg2">
                  <a:lumMod val="90000"/>
                </a:schemeClr>
              </a:solidFill>
              <a:latin typeface="+mn-lt"/>
              <a:ea typeface="+mn-ea"/>
              <a:cs typeface="+mn-cs"/>
            </a:rPr>
            <a:t>April</a:t>
          </a:r>
        </a:p>
      </xdr:txBody>
    </xdr:sp>
    <xdr:clientData/>
  </xdr:twoCellAnchor>
  <xdr:twoCellAnchor>
    <xdr:from>
      <xdr:col>0</xdr:col>
      <xdr:colOff>154843</xdr:colOff>
      <xdr:row>5</xdr:row>
      <xdr:rowOff>209550</xdr:rowOff>
    </xdr:from>
    <xdr:to>
      <xdr:col>3</xdr:col>
      <xdr:colOff>316768</xdr:colOff>
      <xdr:row>7</xdr:row>
      <xdr:rowOff>125048</xdr:rowOff>
    </xdr:to>
    <xdr:sp macro="" textlink="">
      <xdr:nvSpPr>
        <xdr:cNvPr id="29" name="Rounded Rectangle 28">
          <a:hlinkClick xmlns:r="http://schemas.openxmlformats.org/officeDocument/2006/relationships" r:id="rId6"/>
        </xdr:cNvPr>
        <xdr:cNvSpPr/>
      </xdr:nvSpPr>
      <xdr:spPr>
        <a:xfrm>
          <a:off x="154843" y="1181100"/>
          <a:ext cx="1990725" cy="353648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0">
              <a:solidFill>
                <a:schemeClr val="bg2">
                  <a:lumMod val="90000"/>
                </a:schemeClr>
              </a:solidFill>
            </a:rPr>
            <a:t>February</a:t>
          </a:r>
        </a:p>
      </xdr:txBody>
    </xdr:sp>
    <xdr:clientData/>
  </xdr:twoCellAnchor>
  <xdr:twoCellAnchor>
    <xdr:from>
      <xdr:col>0</xdr:col>
      <xdr:colOff>149469</xdr:colOff>
      <xdr:row>12</xdr:row>
      <xdr:rowOff>14899</xdr:rowOff>
    </xdr:from>
    <xdr:to>
      <xdr:col>3</xdr:col>
      <xdr:colOff>311394</xdr:colOff>
      <xdr:row>13</xdr:row>
      <xdr:rowOff>176824</xdr:rowOff>
    </xdr:to>
    <xdr:sp macro="" textlink="">
      <xdr:nvSpPr>
        <xdr:cNvPr id="30" name="Rounded Rectangle 29">
          <a:hlinkClick xmlns:r="http://schemas.openxmlformats.org/officeDocument/2006/relationships" r:id="rId7"/>
        </xdr:cNvPr>
        <xdr:cNvSpPr/>
      </xdr:nvSpPr>
      <xdr:spPr>
        <a:xfrm>
          <a:off x="149469" y="2377099"/>
          <a:ext cx="1990725" cy="352425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0">
              <a:solidFill>
                <a:schemeClr val="bg2">
                  <a:lumMod val="90000"/>
                </a:schemeClr>
              </a:solidFill>
            </a:rPr>
            <a:t>May</a:t>
          </a:r>
        </a:p>
      </xdr:txBody>
    </xdr:sp>
    <xdr:clientData/>
  </xdr:twoCellAnchor>
  <xdr:twoCellAnchor>
    <xdr:from>
      <xdr:col>0</xdr:col>
      <xdr:colOff>153622</xdr:colOff>
      <xdr:row>14</xdr:row>
      <xdr:rowOff>36635</xdr:rowOff>
    </xdr:from>
    <xdr:to>
      <xdr:col>3</xdr:col>
      <xdr:colOff>315547</xdr:colOff>
      <xdr:row>16</xdr:row>
      <xdr:rowOff>732</xdr:rowOff>
    </xdr:to>
    <xdr:sp macro="" textlink="">
      <xdr:nvSpPr>
        <xdr:cNvPr id="31" name="Rounded Rectangle 30">
          <a:hlinkClick xmlns:r="http://schemas.openxmlformats.org/officeDocument/2006/relationships" r:id="rId8"/>
        </xdr:cNvPr>
        <xdr:cNvSpPr/>
      </xdr:nvSpPr>
      <xdr:spPr>
        <a:xfrm>
          <a:off x="153622" y="2779835"/>
          <a:ext cx="1990725" cy="345097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0">
              <a:solidFill>
                <a:schemeClr val="bg2">
                  <a:lumMod val="90000"/>
                </a:schemeClr>
              </a:solidFill>
            </a:rPr>
            <a:t>June</a:t>
          </a:r>
        </a:p>
      </xdr:txBody>
    </xdr:sp>
    <xdr:clientData/>
  </xdr:twoCellAnchor>
  <xdr:twoCellAnchor>
    <xdr:from>
      <xdr:col>0</xdr:col>
      <xdr:colOff>144096</xdr:colOff>
      <xdr:row>20</xdr:row>
      <xdr:rowOff>59838</xdr:rowOff>
    </xdr:from>
    <xdr:to>
      <xdr:col>3</xdr:col>
      <xdr:colOff>306021</xdr:colOff>
      <xdr:row>22</xdr:row>
      <xdr:rowOff>8061</xdr:rowOff>
    </xdr:to>
    <xdr:sp macro="" textlink="">
      <xdr:nvSpPr>
        <xdr:cNvPr id="50" name="Rounded Rectangle 49">
          <a:hlinkClick xmlns:r="http://schemas.openxmlformats.org/officeDocument/2006/relationships" r:id="rId9"/>
        </xdr:cNvPr>
        <xdr:cNvSpPr/>
      </xdr:nvSpPr>
      <xdr:spPr>
        <a:xfrm>
          <a:off x="144096" y="3946038"/>
          <a:ext cx="1990725" cy="329223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0">
              <a:solidFill>
                <a:schemeClr val="bg2">
                  <a:lumMod val="90000"/>
                </a:schemeClr>
              </a:solidFill>
            </a:rPr>
            <a:t>September</a:t>
          </a:r>
        </a:p>
      </xdr:txBody>
    </xdr:sp>
    <xdr:clientData/>
  </xdr:twoCellAnchor>
  <xdr:twoCellAnchor>
    <xdr:from>
      <xdr:col>0</xdr:col>
      <xdr:colOff>145561</xdr:colOff>
      <xdr:row>22</xdr:row>
      <xdr:rowOff>54462</xdr:rowOff>
    </xdr:from>
    <xdr:to>
      <xdr:col>3</xdr:col>
      <xdr:colOff>307486</xdr:colOff>
      <xdr:row>24</xdr:row>
      <xdr:rowOff>9280</xdr:rowOff>
    </xdr:to>
    <xdr:sp macro="" textlink="">
      <xdr:nvSpPr>
        <xdr:cNvPr id="52" name="Rounded Rectangle 51">
          <a:hlinkClick xmlns:r="http://schemas.openxmlformats.org/officeDocument/2006/relationships" r:id="rId10"/>
        </xdr:cNvPr>
        <xdr:cNvSpPr/>
      </xdr:nvSpPr>
      <xdr:spPr>
        <a:xfrm>
          <a:off x="145561" y="4321662"/>
          <a:ext cx="1990725" cy="335818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0">
              <a:solidFill>
                <a:schemeClr val="bg2">
                  <a:lumMod val="90000"/>
                </a:schemeClr>
              </a:solidFill>
            </a:rPr>
            <a:t>October</a:t>
          </a:r>
        </a:p>
      </xdr:txBody>
    </xdr:sp>
    <xdr:clientData/>
  </xdr:twoCellAnchor>
  <xdr:twoCellAnchor>
    <xdr:from>
      <xdr:col>0</xdr:col>
      <xdr:colOff>160459</xdr:colOff>
      <xdr:row>24</xdr:row>
      <xdr:rowOff>64965</xdr:rowOff>
    </xdr:from>
    <xdr:to>
      <xdr:col>3</xdr:col>
      <xdr:colOff>322384</xdr:colOff>
      <xdr:row>26</xdr:row>
      <xdr:rowOff>25645</xdr:rowOff>
    </xdr:to>
    <xdr:sp macro="" textlink="">
      <xdr:nvSpPr>
        <xdr:cNvPr id="53" name="Rounded Rectangle 52">
          <a:hlinkClick xmlns:r="http://schemas.openxmlformats.org/officeDocument/2006/relationships" r:id="rId11"/>
        </xdr:cNvPr>
        <xdr:cNvSpPr/>
      </xdr:nvSpPr>
      <xdr:spPr>
        <a:xfrm>
          <a:off x="160459" y="4713165"/>
          <a:ext cx="1990725" cy="351205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0">
              <a:solidFill>
                <a:schemeClr val="bg2">
                  <a:lumMod val="90000"/>
                </a:schemeClr>
              </a:solidFill>
            </a:rPr>
            <a:t>November</a:t>
          </a:r>
        </a:p>
      </xdr:txBody>
    </xdr:sp>
    <xdr:clientData/>
  </xdr:twoCellAnchor>
  <xdr:twoCellAnchor>
    <xdr:from>
      <xdr:col>0</xdr:col>
      <xdr:colOff>155086</xdr:colOff>
      <xdr:row>26</xdr:row>
      <xdr:rowOff>70583</xdr:rowOff>
    </xdr:from>
    <xdr:to>
      <xdr:col>3</xdr:col>
      <xdr:colOff>317011</xdr:colOff>
      <xdr:row>28</xdr:row>
      <xdr:rowOff>57150</xdr:rowOff>
    </xdr:to>
    <xdr:sp macro="" textlink="">
      <xdr:nvSpPr>
        <xdr:cNvPr id="54" name="Rounded Rectangle 53">
          <a:hlinkClick xmlns:r="http://schemas.openxmlformats.org/officeDocument/2006/relationships" r:id="rId12"/>
        </xdr:cNvPr>
        <xdr:cNvSpPr/>
      </xdr:nvSpPr>
      <xdr:spPr>
        <a:xfrm>
          <a:off x="155086" y="5109308"/>
          <a:ext cx="1990725" cy="367567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0">
              <a:solidFill>
                <a:schemeClr val="bg2">
                  <a:lumMod val="90000"/>
                </a:schemeClr>
              </a:solidFill>
            </a:rPr>
            <a:t>December</a:t>
          </a:r>
        </a:p>
      </xdr:txBody>
    </xdr:sp>
    <xdr:clientData/>
  </xdr:twoCellAnchor>
  <xdr:twoCellAnchor>
    <xdr:from>
      <xdr:col>41</xdr:col>
      <xdr:colOff>24741</xdr:colOff>
      <xdr:row>0</xdr:row>
      <xdr:rowOff>12370</xdr:rowOff>
    </xdr:from>
    <xdr:to>
      <xdr:col>57</xdr:col>
      <xdr:colOff>148442</xdr:colOff>
      <xdr:row>3</xdr:row>
      <xdr:rowOff>0</xdr:rowOff>
    </xdr:to>
    <xdr:sp macro="" textlink="">
      <xdr:nvSpPr>
        <xdr:cNvPr id="5" name="Rectangle 4"/>
        <xdr:cNvSpPr/>
      </xdr:nvSpPr>
      <xdr:spPr>
        <a:xfrm>
          <a:off x="16724416" y="12370"/>
          <a:ext cx="13359740" cy="544286"/>
        </a:xfrm>
        <a:prstGeom prst="rect">
          <a:avLst/>
        </a:prstGeom>
        <a:solidFill>
          <a:srgbClr val="FF9900"/>
        </a:solidFill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3200" b="1">
              <a:solidFill>
                <a:schemeClr val="tx1"/>
              </a:solidFill>
            </a:rPr>
            <a:t>MONTHLY </a:t>
          </a:r>
          <a:r>
            <a:rPr lang="en-US" sz="3600" b="1">
              <a:solidFill>
                <a:schemeClr val="tx1"/>
              </a:solidFill>
            </a:rPr>
            <a:t>REPORT</a:t>
          </a:r>
        </a:p>
      </xdr:txBody>
    </xdr:sp>
    <xdr:clientData/>
  </xdr:twoCellAnchor>
  <xdr:twoCellAnchor>
    <xdr:from>
      <xdr:col>7</xdr:col>
      <xdr:colOff>371468</xdr:colOff>
      <xdr:row>0</xdr:row>
      <xdr:rowOff>142874</xdr:rowOff>
    </xdr:from>
    <xdr:to>
      <xdr:col>8</xdr:col>
      <xdr:colOff>293804</xdr:colOff>
      <xdr:row>2</xdr:row>
      <xdr:rowOff>87187</xdr:rowOff>
    </xdr:to>
    <xdr:sp macro="" textlink="$K$4">
      <xdr:nvSpPr>
        <xdr:cNvPr id="34" name="TextBox 33"/>
        <xdr:cNvSpPr txBox="1"/>
      </xdr:nvSpPr>
      <xdr:spPr>
        <a:xfrm>
          <a:off x="4810118" y="142874"/>
          <a:ext cx="1055811" cy="3253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FDEDC129-0A7F-4630-BA04-D6C866EC8672}" type="TxLink">
            <a:rPr lang="en-US" sz="1600" b="1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31-Jan-25</a:t>
          </a:fld>
          <a:endParaRPr lang="en-US" sz="1600" b="1"/>
        </a:p>
      </xdr:txBody>
    </xdr:sp>
    <xdr:clientData/>
  </xdr:twoCellAnchor>
  <xdr:twoCellAnchor>
    <xdr:from>
      <xdr:col>2</xdr:col>
      <xdr:colOff>600209</xdr:colOff>
      <xdr:row>0</xdr:row>
      <xdr:rowOff>142385</xdr:rowOff>
    </xdr:from>
    <xdr:to>
      <xdr:col>4</xdr:col>
      <xdr:colOff>457200</xdr:colOff>
      <xdr:row>2</xdr:row>
      <xdr:rowOff>81328</xdr:rowOff>
    </xdr:to>
    <xdr:sp macro="" textlink="">
      <xdr:nvSpPr>
        <xdr:cNvPr id="37" name="TextBox 36"/>
        <xdr:cNvSpPr txBox="1"/>
      </xdr:nvSpPr>
      <xdr:spPr>
        <a:xfrm>
          <a:off x="1819409" y="142385"/>
          <a:ext cx="1076191" cy="319943"/>
        </a:xfrm>
        <a:prstGeom prst="rect">
          <a:avLst/>
        </a:prstGeom>
        <a:solidFill>
          <a:srgbClr val="FF99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000" b="1"/>
            <a:t>From</a:t>
          </a:r>
          <a:endParaRPr lang="en-US" sz="1100" b="1"/>
        </a:p>
      </xdr:txBody>
    </xdr:sp>
    <xdr:clientData/>
  </xdr:twoCellAnchor>
  <xdr:twoCellAnchor>
    <xdr:from>
      <xdr:col>4</xdr:col>
      <xdr:colOff>465257</xdr:colOff>
      <xdr:row>0</xdr:row>
      <xdr:rowOff>142385</xdr:rowOff>
    </xdr:from>
    <xdr:to>
      <xdr:col>6</xdr:col>
      <xdr:colOff>369029</xdr:colOff>
      <xdr:row>2</xdr:row>
      <xdr:rowOff>81326</xdr:rowOff>
    </xdr:to>
    <xdr:sp macro="" textlink="$H$4">
      <xdr:nvSpPr>
        <xdr:cNvPr id="38" name="TextBox 37"/>
        <xdr:cNvSpPr txBox="1"/>
      </xdr:nvSpPr>
      <xdr:spPr>
        <a:xfrm>
          <a:off x="2903657" y="142385"/>
          <a:ext cx="1122972" cy="31994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3786EEC2-464A-469E-BA84-9467F94783BA}" type="TxLink">
            <a:rPr lang="en-US" sz="1600" b="1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01-Jan-25</a:t>
          </a:fld>
          <a:endParaRPr lang="en-US" sz="2000" b="1"/>
        </a:p>
      </xdr:txBody>
    </xdr:sp>
    <xdr:clientData/>
  </xdr:twoCellAnchor>
  <xdr:twoCellAnchor>
    <xdr:from>
      <xdr:col>6</xdr:col>
      <xdr:colOff>516607</xdr:colOff>
      <xdr:row>0</xdr:row>
      <xdr:rowOff>142875</xdr:rowOff>
    </xdr:from>
    <xdr:to>
      <xdr:col>7</xdr:col>
      <xdr:colOff>368120</xdr:colOff>
      <xdr:row>2</xdr:row>
      <xdr:rowOff>81818</xdr:rowOff>
    </xdr:to>
    <xdr:sp macro="" textlink="">
      <xdr:nvSpPr>
        <xdr:cNvPr id="41" name="TextBox 40"/>
        <xdr:cNvSpPr txBox="1"/>
      </xdr:nvSpPr>
      <xdr:spPr>
        <a:xfrm>
          <a:off x="4174207" y="142875"/>
          <a:ext cx="632563" cy="319943"/>
        </a:xfrm>
        <a:prstGeom prst="rect">
          <a:avLst/>
        </a:prstGeom>
        <a:solidFill>
          <a:srgbClr val="FF99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000" b="1"/>
            <a:t>To</a:t>
          </a:r>
        </a:p>
      </xdr:txBody>
    </xdr:sp>
    <xdr:clientData/>
  </xdr:twoCellAnchor>
  <xdr:twoCellAnchor>
    <xdr:from>
      <xdr:col>9</xdr:col>
      <xdr:colOff>104774</xdr:colOff>
      <xdr:row>0</xdr:row>
      <xdr:rowOff>95251</xdr:rowOff>
    </xdr:from>
    <xdr:to>
      <xdr:col>28</xdr:col>
      <xdr:colOff>69695</xdr:colOff>
      <xdr:row>2</xdr:row>
      <xdr:rowOff>133351</xdr:rowOff>
    </xdr:to>
    <xdr:sp macro="" textlink="">
      <xdr:nvSpPr>
        <xdr:cNvPr id="8" name="Rectangle 7"/>
        <xdr:cNvSpPr/>
      </xdr:nvSpPr>
      <xdr:spPr>
        <a:xfrm>
          <a:off x="6249561" y="95251"/>
          <a:ext cx="6214250" cy="409807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110465</xdr:colOff>
      <xdr:row>1</xdr:row>
      <xdr:rowOff>12369</xdr:rowOff>
    </xdr:from>
    <xdr:to>
      <xdr:col>19</xdr:col>
      <xdr:colOff>148441</xdr:colOff>
      <xdr:row>2</xdr:row>
      <xdr:rowOff>23872</xdr:rowOff>
    </xdr:to>
    <xdr:sp macro="" textlink="">
      <xdr:nvSpPr>
        <xdr:cNvPr id="9" name="TextBox 8"/>
        <xdr:cNvSpPr txBox="1"/>
      </xdr:nvSpPr>
      <xdr:spPr>
        <a:xfrm>
          <a:off x="6617153" y="197921"/>
          <a:ext cx="3019178" cy="197055"/>
        </a:xfrm>
        <a:prstGeom prst="rect">
          <a:avLst/>
        </a:prstGeom>
        <a:solidFill>
          <a:schemeClr val="bg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800" b="1"/>
            <a:t>Dashboard For</a:t>
          </a:r>
          <a:r>
            <a:rPr lang="en-US" sz="1800" b="1" baseline="0"/>
            <a:t> The Month Of    </a:t>
          </a:r>
          <a:endParaRPr lang="en-US" sz="1800" b="1"/>
        </a:p>
      </xdr:txBody>
    </xdr:sp>
    <xdr:clientData/>
  </xdr:twoCellAnchor>
  <xdr:twoCellAnchor editAs="oneCell">
    <xdr:from>
      <xdr:col>9</xdr:col>
      <xdr:colOff>107128</xdr:colOff>
      <xdr:row>0</xdr:row>
      <xdr:rowOff>133530</xdr:rowOff>
    </xdr:from>
    <xdr:to>
      <xdr:col>10</xdr:col>
      <xdr:colOff>79043</xdr:colOff>
      <xdr:row>2</xdr:row>
      <xdr:rowOff>114536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 rot="5158119">
          <a:off x="6270020" y="152363"/>
          <a:ext cx="362006" cy="324340"/>
        </a:xfrm>
        <a:prstGeom prst="rect">
          <a:avLst/>
        </a:prstGeom>
      </xdr:spPr>
    </xdr:pic>
    <xdr:clientData/>
  </xdr:twoCellAnchor>
  <xdr:twoCellAnchor>
    <xdr:from>
      <xdr:col>19</xdr:col>
      <xdr:colOff>103439</xdr:colOff>
      <xdr:row>0</xdr:row>
      <xdr:rowOff>134103</xdr:rowOff>
    </xdr:from>
    <xdr:to>
      <xdr:col>24</xdr:col>
      <xdr:colOff>103439</xdr:colOff>
      <xdr:row>2</xdr:row>
      <xdr:rowOff>86479</xdr:rowOff>
    </xdr:to>
    <xdr:sp macro="" textlink="$O$4">
      <xdr:nvSpPr>
        <xdr:cNvPr id="6" name="TextBox 5"/>
        <xdr:cNvSpPr txBox="1"/>
      </xdr:nvSpPr>
      <xdr:spPr>
        <a:xfrm>
          <a:off x="9616823" y="134103"/>
          <a:ext cx="1614604" cy="324083"/>
        </a:xfrm>
        <a:prstGeom prst="rect">
          <a:avLst/>
        </a:prstGeom>
        <a:solidFill>
          <a:srgbClr val="FF99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34BAD96D-33B3-407C-843D-30EA8E6C9ECE}" type="TxLink">
            <a:rPr lang="en-US" sz="2400" b="1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January</a:t>
          </a:fld>
          <a:endParaRPr lang="en-US" sz="2400" b="1"/>
        </a:p>
      </xdr:txBody>
    </xdr:sp>
    <xdr:clientData/>
  </xdr:twoCellAnchor>
  <xdr:twoCellAnchor>
    <xdr:from>
      <xdr:col>29</xdr:col>
      <xdr:colOff>52336</xdr:colOff>
      <xdr:row>0</xdr:row>
      <xdr:rowOff>167472</xdr:rowOff>
    </xdr:from>
    <xdr:to>
      <xdr:col>30</xdr:col>
      <xdr:colOff>73270</xdr:colOff>
      <xdr:row>2</xdr:row>
      <xdr:rowOff>52335</xdr:rowOff>
    </xdr:to>
    <xdr:sp macro="" textlink="">
      <xdr:nvSpPr>
        <xdr:cNvPr id="7" name="TextBox 6"/>
        <xdr:cNvSpPr txBox="1"/>
      </xdr:nvSpPr>
      <xdr:spPr>
        <a:xfrm>
          <a:off x="12727913" y="167472"/>
          <a:ext cx="303544" cy="2616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29</xdr:col>
      <xdr:colOff>167471</xdr:colOff>
      <xdr:row>1</xdr:row>
      <xdr:rowOff>62802</xdr:rowOff>
    </xdr:from>
    <xdr:to>
      <xdr:col>30</xdr:col>
      <xdr:colOff>20933</xdr:colOff>
      <xdr:row>1</xdr:row>
      <xdr:rowOff>167472</xdr:rowOff>
    </xdr:to>
    <xdr:sp macro="" textlink="">
      <xdr:nvSpPr>
        <xdr:cNvPr id="11" name="Flowchart: Connector 10"/>
        <xdr:cNvSpPr/>
      </xdr:nvSpPr>
      <xdr:spPr>
        <a:xfrm>
          <a:off x="12843048" y="251209"/>
          <a:ext cx="136072" cy="104670"/>
        </a:xfrm>
        <a:prstGeom prst="flowChartConnector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noFill/>
          </a:endParaRPr>
        </a:p>
      </xdr:txBody>
    </xdr:sp>
    <xdr:clientData/>
  </xdr:twoCellAnchor>
  <xdr:twoCellAnchor>
    <xdr:from>
      <xdr:col>33</xdr:col>
      <xdr:colOff>136071</xdr:colOff>
      <xdr:row>0</xdr:row>
      <xdr:rowOff>167473</xdr:rowOff>
    </xdr:from>
    <xdr:to>
      <xdr:col>34</xdr:col>
      <xdr:colOff>52334</xdr:colOff>
      <xdr:row>2</xdr:row>
      <xdr:rowOff>73270</xdr:rowOff>
    </xdr:to>
    <xdr:sp macro="" textlink="">
      <xdr:nvSpPr>
        <xdr:cNvPr id="28" name="TextBox 27"/>
        <xdr:cNvSpPr txBox="1"/>
      </xdr:nvSpPr>
      <xdr:spPr>
        <a:xfrm>
          <a:off x="14057225" y="167473"/>
          <a:ext cx="198873" cy="28261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33</xdr:col>
      <xdr:colOff>141933</xdr:colOff>
      <xdr:row>1</xdr:row>
      <xdr:rowOff>79131</xdr:rowOff>
    </xdr:from>
    <xdr:to>
      <xdr:col>33</xdr:col>
      <xdr:colOff>278005</xdr:colOff>
      <xdr:row>1</xdr:row>
      <xdr:rowOff>183801</xdr:rowOff>
    </xdr:to>
    <xdr:sp macro="" textlink="">
      <xdr:nvSpPr>
        <xdr:cNvPr id="33" name="Flowchart: Connector 32"/>
        <xdr:cNvSpPr/>
      </xdr:nvSpPr>
      <xdr:spPr>
        <a:xfrm>
          <a:off x="14063087" y="267538"/>
          <a:ext cx="136072" cy="104670"/>
        </a:xfrm>
        <a:prstGeom prst="flowChartConnector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noFill/>
          </a:endParaRPr>
        </a:p>
      </xdr:txBody>
    </xdr:sp>
    <xdr:clientData/>
  </xdr:twoCellAnchor>
  <xdr:twoCellAnchor>
    <xdr:from>
      <xdr:col>37</xdr:col>
      <xdr:colOff>83734</xdr:colOff>
      <xdr:row>0</xdr:row>
      <xdr:rowOff>147795</xdr:rowOff>
    </xdr:from>
    <xdr:to>
      <xdr:col>37</xdr:col>
      <xdr:colOff>272141</xdr:colOff>
      <xdr:row>2</xdr:row>
      <xdr:rowOff>41869</xdr:rowOff>
    </xdr:to>
    <xdr:sp macro="" textlink="">
      <xdr:nvSpPr>
        <xdr:cNvPr id="35" name="TextBox 34"/>
        <xdr:cNvSpPr txBox="1"/>
      </xdr:nvSpPr>
      <xdr:spPr>
        <a:xfrm>
          <a:off x="15198130" y="147795"/>
          <a:ext cx="188407" cy="27088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37</xdr:col>
      <xdr:colOff>116393</xdr:colOff>
      <xdr:row>1</xdr:row>
      <xdr:rowOff>84993</xdr:rowOff>
    </xdr:from>
    <xdr:to>
      <xdr:col>37</xdr:col>
      <xdr:colOff>252465</xdr:colOff>
      <xdr:row>2</xdr:row>
      <xdr:rowOff>1257</xdr:rowOff>
    </xdr:to>
    <xdr:sp macro="" textlink="">
      <xdr:nvSpPr>
        <xdr:cNvPr id="36" name="Flowchart: Connector 35"/>
        <xdr:cNvSpPr/>
      </xdr:nvSpPr>
      <xdr:spPr>
        <a:xfrm>
          <a:off x="15230789" y="273400"/>
          <a:ext cx="136072" cy="104670"/>
        </a:xfrm>
        <a:prstGeom prst="flowChartConnector">
          <a:avLst/>
        </a:prstGeom>
        <a:solidFill>
          <a:srgbClr val="FFFF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noFill/>
          </a:endParaRPr>
        </a:p>
      </xdr:txBody>
    </xdr:sp>
    <xdr:clientData/>
  </xdr:twoCellAnchor>
  <xdr:twoCellAnchor>
    <xdr:from>
      <xdr:col>29</xdr:col>
      <xdr:colOff>272144</xdr:colOff>
      <xdr:row>0</xdr:row>
      <xdr:rowOff>125604</xdr:rowOff>
    </xdr:from>
    <xdr:to>
      <xdr:col>33</xdr:col>
      <xdr:colOff>41869</xdr:colOff>
      <xdr:row>2</xdr:row>
      <xdr:rowOff>73269</xdr:rowOff>
    </xdr:to>
    <xdr:sp macro="" textlink="">
      <xdr:nvSpPr>
        <xdr:cNvPr id="12" name="TextBox 11"/>
        <xdr:cNvSpPr txBox="1"/>
      </xdr:nvSpPr>
      <xdr:spPr>
        <a:xfrm>
          <a:off x="12947721" y="125604"/>
          <a:ext cx="1015302" cy="324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000" b="1">
              <a:solidFill>
                <a:schemeClr val="bg1"/>
              </a:solidFill>
            </a:rPr>
            <a:t>Present</a:t>
          </a:r>
        </a:p>
      </xdr:txBody>
    </xdr:sp>
    <xdr:clientData/>
  </xdr:twoCellAnchor>
  <xdr:twoCellAnchor>
    <xdr:from>
      <xdr:col>33</xdr:col>
      <xdr:colOff>251209</xdr:colOff>
      <xdr:row>0</xdr:row>
      <xdr:rowOff>157006</xdr:rowOff>
    </xdr:from>
    <xdr:to>
      <xdr:col>36</xdr:col>
      <xdr:colOff>272142</xdr:colOff>
      <xdr:row>2</xdr:row>
      <xdr:rowOff>73272</xdr:rowOff>
    </xdr:to>
    <xdr:sp macro="" textlink="">
      <xdr:nvSpPr>
        <xdr:cNvPr id="13" name="TextBox 12"/>
        <xdr:cNvSpPr txBox="1"/>
      </xdr:nvSpPr>
      <xdr:spPr>
        <a:xfrm>
          <a:off x="14172363" y="157006"/>
          <a:ext cx="931565" cy="29307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000" b="1">
              <a:solidFill>
                <a:schemeClr val="bg1"/>
              </a:solidFill>
            </a:rPr>
            <a:t>Absent</a:t>
          </a:r>
          <a:endParaRPr lang="en-US" sz="1600" b="1">
            <a:solidFill>
              <a:schemeClr val="bg1"/>
            </a:solidFill>
          </a:endParaRPr>
        </a:p>
      </xdr:txBody>
    </xdr:sp>
    <xdr:clientData/>
  </xdr:twoCellAnchor>
  <xdr:twoCellAnchor>
    <xdr:from>
      <xdr:col>37</xdr:col>
      <xdr:colOff>198873</xdr:colOff>
      <xdr:row>0</xdr:row>
      <xdr:rowOff>146539</xdr:rowOff>
    </xdr:from>
    <xdr:to>
      <xdr:col>40</xdr:col>
      <xdr:colOff>20934</xdr:colOff>
      <xdr:row>2</xdr:row>
      <xdr:rowOff>104671</xdr:rowOff>
    </xdr:to>
    <xdr:sp macro="" textlink="">
      <xdr:nvSpPr>
        <xdr:cNvPr id="14" name="TextBox 13"/>
        <xdr:cNvSpPr txBox="1"/>
      </xdr:nvSpPr>
      <xdr:spPr>
        <a:xfrm>
          <a:off x="15313269" y="146539"/>
          <a:ext cx="805962" cy="33494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000" b="1">
              <a:solidFill>
                <a:schemeClr val="bg1"/>
              </a:solidFill>
            </a:rPr>
            <a:t>Leave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</xdr:rowOff>
    </xdr:from>
    <xdr:to>
      <xdr:col>2</xdr:col>
      <xdr:colOff>590550</xdr:colOff>
      <xdr:row>28</xdr:row>
      <xdr:rowOff>116159</xdr:rowOff>
    </xdr:to>
    <xdr:sp macro="" textlink="">
      <xdr:nvSpPr>
        <xdr:cNvPr id="2" name="Rectangle 1"/>
        <xdr:cNvSpPr/>
      </xdr:nvSpPr>
      <xdr:spPr>
        <a:xfrm>
          <a:off x="0" y="1"/>
          <a:ext cx="1798599" cy="5412987"/>
        </a:xfrm>
        <a:prstGeom prst="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b="1"/>
        </a:p>
      </xdr:txBody>
    </xdr:sp>
    <xdr:clientData/>
  </xdr:twoCellAnchor>
  <xdr:twoCellAnchor>
    <xdr:from>
      <xdr:col>2</xdr:col>
      <xdr:colOff>492672</xdr:colOff>
      <xdr:row>0</xdr:row>
      <xdr:rowOff>10467</xdr:rowOff>
    </xdr:from>
    <xdr:to>
      <xdr:col>40</xdr:col>
      <xdr:colOff>296883</xdr:colOff>
      <xdr:row>3</xdr:row>
      <xdr:rowOff>34889</xdr:rowOff>
    </xdr:to>
    <xdr:sp macro="" textlink="">
      <xdr:nvSpPr>
        <xdr:cNvPr id="3" name="Rectangle 2"/>
        <xdr:cNvSpPr/>
      </xdr:nvSpPr>
      <xdr:spPr>
        <a:xfrm>
          <a:off x="1711872" y="10467"/>
          <a:ext cx="14710836" cy="595922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122918</xdr:colOff>
      <xdr:row>3</xdr:row>
      <xdr:rowOff>172393</xdr:rowOff>
    </xdr:from>
    <xdr:to>
      <xdr:col>3</xdr:col>
      <xdr:colOff>284844</xdr:colOff>
      <xdr:row>5</xdr:row>
      <xdr:rowOff>162869</xdr:rowOff>
    </xdr:to>
    <xdr:sp macro="" textlink="">
      <xdr:nvSpPr>
        <xdr:cNvPr id="4" name="Rounded Rectangle 3">
          <a:hlinkClick xmlns:r="http://schemas.openxmlformats.org/officeDocument/2006/relationships" r:id="rId1"/>
        </xdr:cNvPr>
        <xdr:cNvSpPr/>
      </xdr:nvSpPr>
      <xdr:spPr>
        <a:xfrm>
          <a:off x="122918" y="750697"/>
          <a:ext cx="1998890" cy="398690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0">
              <a:solidFill>
                <a:schemeClr val="bg2">
                  <a:lumMod val="90000"/>
                </a:schemeClr>
              </a:solidFill>
              <a:latin typeface="+mn-lt"/>
              <a:ea typeface="+mn-ea"/>
              <a:cs typeface="+mn-cs"/>
            </a:rPr>
            <a:t>January</a:t>
          </a:r>
        </a:p>
      </xdr:txBody>
    </xdr:sp>
    <xdr:clientData/>
  </xdr:twoCellAnchor>
  <xdr:twoCellAnchor>
    <xdr:from>
      <xdr:col>0</xdr:col>
      <xdr:colOff>150935</xdr:colOff>
      <xdr:row>16</xdr:row>
      <xdr:rowOff>48846</xdr:rowOff>
    </xdr:from>
    <xdr:to>
      <xdr:col>3</xdr:col>
      <xdr:colOff>312860</xdr:colOff>
      <xdr:row>17</xdr:row>
      <xdr:rowOff>186105</xdr:rowOff>
    </xdr:to>
    <xdr:sp macro="" textlink="">
      <xdr:nvSpPr>
        <xdr:cNvPr id="5" name="Rounded Rectangle 4">
          <a:hlinkClick xmlns:r="http://schemas.openxmlformats.org/officeDocument/2006/relationships" r:id="rId2"/>
        </xdr:cNvPr>
        <xdr:cNvSpPr/>
      </xdr:nvSpPr>
      <xdr:spPr>
        <a:xfrm>
          <a:off x="150935" y="3173046"/>
          <a:ext cx="1990725" cy="327759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0">
              <a:solidFill>
                <a:schemeClr val="bg2">
                  <a:lumMod val="90000"/>
                </a:schemeClr>
              </a:solidFill>
            </a:rPr>
            <a:t>July</a:t>
          </a:r>
        </a:p>
      </xdr:txBody>
    </xdr:sp>
    <xdr:clientData/>
  </xdr:twoCellAnchor>
  <xdr:twoCellAnchor>
    <xdr:from>
      <xdr:col>0</xdr:col>
      <xdr:colOff>146783</xdr:colOff>
      <xdr:row>18</xdr:row>
      <xdr:rowOff>58371</xdr:rowOff>
    </xdr:from>
    <xdr:to>
      <xdr:col>3</xdr:col>
      <xdr:colOff>308708</xdr:colOff>
      <xdr:row>20</xdr:row>
      <xdr:rowOff>3419</xdr:rowOff>
    </xdr:to>
    <xdr:sp macro="" textlink="">
      <xdr:nvSpPr>
        <xdr:cNvPr id="6" name="Rounded Rectangle 5">
          <a:hlinkClick xmlns:r="http://schemas.openxmlformats.org/officeDocument/2006/relationships" r:id="rId3"/>
        </xdr:cNvPr>
        <xdr:cNvSpPr/>
      </xdr:nvSpPr>
      <xdr:spPr>
        <a:xfrm>
          <a:off x="146783" y="3563571"/>
          <a:ext cx="1990725" cy="326048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0">
              <a:solidFill>
                <a:schemeClr val="bg2">
                  <a:lumMod val="90000"/>
                </a:schemeClr>
              </a:solidFill>
            </a:rPr>
            <a:t>August</a:t>
          </a:r>
        </a:p>
      </xdr:txBody>
    </xdr:sp>
    <xdr:clientData/>
  </xdr:twoCellAnchor>
  <xdr:twoCellAnchor>
    <xdr:from>
      <xdr:col>0</xdr:col>
      <xdr:colOff>161682</xdr:colOff>
      <xdr:row>7</xdr:row>
      <xdr:rowOff>182197</xdr:rowOff>
    </xdr:from>
    <xdr:to>
      <xdr:col>3</xdr:col>
      <xdr:colOff>323607</xdr:colOff>
      <xdr:row>9</xdr:row>
      <xdr:rowOff>142875</xdr:rowOff>
    </xdr:to>
    <xdr:sp macro="" textlink="">
      <xdr:nvSpPr>
        <xdr:cNvPr id="7" name="Rounded Rectangle 6">
          <a:hlinkClick xmlns:r="http://schemas.openxmlformats.org/officeDocument/2006/relationships" r:id="rId4"/>
        </xdr:cNvPr>
        <xdr:cNvSpPr/>
      </xdr:nvSpPr>
      <xdr:spPr>
        <a:xfrm>
          <a:off x="161682" y="1591897"/>
          <a:ext cx="1990725" cy="341678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0">
              <a:solidFill>
                <a:schemeClr val="bg2">
                  <a:lumMod val="90000"/>
                </a:schemeClr>
              </a:solidFill>
            </a:rPr>
            <a:t>March</a:t>
          </a:r>
        </a:p>
      </xdr:txBody>
    </xdr:sp>
    <xdr:clientData/>
  </xdr:twoCellAnchor>
  <xdr:twoCellAnchor>
    <xdr:from>
      <xdr:col>0</xdr:col>
      <xdr:colOff>139944</xdr:colOff>
      <xdr:row>10</xdr:row>
      <xdr:rowOff>10745</xdr:rowOff>
    </xdr:from>
    <xdr:to>
      <xdr:col>3</xdr:col>
      <xdr:colOff>301869</xdr:colOff>
      <xdr:row>11</xdr:row>
      <xdr:rowOff>148003</xdr:rowOff>
    </xdr:to>
    <xdr:sp macro="" textlink="">
      <xdr:nvSpPr>
        <xdr:cNvPr id="8" name="Rounded Rectangle 7">
          <a:hlinkClick xmlns:r="http://schemas.openxmlformats.org/officeDocument/2006/relationships" r:id="rId5"/>
        </xdr:cNvPr>
        <xdr:cNvSpPr/>
      </xdr:nvSpPr>
      <xdr:spPr>
        <a:xfrm>
          <a:off x="139944" y="1991945"/>
          <a:ext cx="1990725" cy="327758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0">
              <a:solidFill>
                <a:schemeClr val="bg2">
                  <a:lumMod val="90000"/>
                </a:schemeClr>
              </a:solidFill>
              <a:latin typeface="+mn-lt"/>
              <a:ea typeface="+mn-ea"/>
              <a:cs typeface="+mn-cs"/>
            </a:rPr>
            <a:t>April</a:t>
          </a:r>
        </a:p>
      </xdr:txBody>
    </xdr:sp>
    <xdr:clientData/>
  </xdr:twoCellAnchor>
  <xdr:twoCellAnchor>
    <xdr:from>
      <xdr:col>1</xdr:col>
      <xdr:colOff>30111</xdr:colOff>
      <xdr:row>5</xdr:row>
      <xdr:rowOff>209550</xdr:rowOff>
    </xdr:from>
    <xdr:to>
      <xdr:col>4</xdr:col>
      <xdr:colOff>192035</xdr:colOff>
      <xdr:row>7</xdr:row>
      <xdr:rowOff>125048</xdr:rowOff>
    </xdr:to>
    <xdr:sp macro="" textlink="">
      <xdr:nvSpPr>
        <xdr:cNvPr id="9" name="Rounded Rectangle 8">
          <a:hlinkClick xmlns:r="http://schemas.openxmlformats.org/officeDocument/2006/relationships" r:id="rId6"/>
        </xdr:cNvPr>
        <xdr:cNvSpPr/>
      </xdr:nvSpPr>
      <xdr:spPr>
        <a:xfrm>
          <a:off x="642432" y="1196068"/>
          <a:ext cx="1998889" cy="369069"/>
        </a:xfrm>
        <a:prstGeom prst="roundRect">
          <a:avLst/>
        </a:prstGeom>
        <a:solidFill>
          <a:schemeClr val="bg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 b="1">
              <a:solidFill>
                <a:schemeClr val="tx1"/>
              </a:solidFill>
              <a:latin typeface="+mn-lt"/>
              <a:ea typeface="+mn-ea"/>
              <a:cs typeface="+mn-cs"/>
            </a:rPr>
            <a:t>February</a:t>
          </a:r>
        </a:p>
      </xdr:txBody>
    </xdr:sp>
    <xdr:clientData/>
  </xdr:twoCellAnchor>
  <xdr:twoCellAnchor>
    <xdr:from>
      <xdr:col>0</xdr:col>
      <xdr:colOff>149469</xdr:colOff>
      <xdr:row>12</xdr:row>
      <xdr:rowOff>14899</xdr:rowOff>
    </xdr:from>
    <xdr:to>
      <xdr:col>3</xdr:col>
      <xdr:colOff>311394</xdr:colOff>
      <xdr:row>13</xdr:row>
      <xdr:rowOff>176824</xdr:rowOff>
    </xdr:to>
    <xdr:sp macro="" textlink="">
      <xdr:nvSpPr>
        <xdr:cNvPr id="10" name="Rounded Rectangle 9">
          <a:hlinkClick xmlns:r="http://schemas.openxmlformats.org/officeDocument/2006/relationships" r:id="rId7"/>
        </xdr:cNvPr>
        <xdr:cNvSpPr/>
      </xdr:nvSpPr>
      <xdr:spPr>
        <a:xfrm>
          <a:off x="149469" y="2377099"/>
          <a:ext cx="1990725" cy="352425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0">
              <a:solidFill>
                <a:schemeClr val="bg2">
                  <a:lumMod val="90000"/>
                </a:schemeClr>
              </a:solidFill>
            </a:rPr>
            <a:t>May</a:t>
          </a:r>
        </a:p>
      </xdr:txBody>
    </xdr:sp>
    <xdr:clientData/>
  </xdr:twoCellAnchor>
  <xdr:twoCellAnchor>
    <xdr:from>
      <xdr:col>0</xdr:col>
      <xdr:colOff>153622</xdr:colOff>
      <xdr:row>14</xdr:row>
      <xdr:rowOff>36635</xdr:rowOff>
    </xdr:from>
    <xdr:to>
      <xdr:col>3</xdr:col>
      <xdr:colOff>315547</xdr:colOff>
      <xdr:row>16</xdr:row>
      <xdr:rowOff>732</xdr:rowOff>
    </xdr:to>
    <xdr:sp macro="" textlink="">
      <xdr:nvSpPr>
        <xdr:cNvPr id="11" name="Rounded Rectangle 10">
          <a:hlinkClick xmlns:r="http://schemas.openxmlformats.org/officeDocument/2006/relationships" r:id="rId8"/>
        </xdr:cNvPr>
        <xdr:cNvSpPr/>
      </xdr:nvSpPr>
      <xdr:spPr>
        <a:xfrm>
          <a:off x="153622" y="2779835"/>
          <a:ext cx="1990725" cy="345097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0">
              <a:solidFill>
                <a:schemeClr val="bg2">
                  <a:lumMod val="90000"/>
                </a:schemeClr>
              </a:solidFill>
            </a:rPr>
            <a:t>June</a:t>
          </a:r>
        </a:p>
      </xdr:txBody>
    </xdr:sp>
    <xdr:clientData/>
  </xdr:twoCellAnchor>
  <xdr:twoCellAnchor>
    <xdr:from>
      <xdr:col>0</xdr:col>
      <xdr:colOff>144096</xdr:colOff>
      <xdr:row>20</xdr:row>
      <xdr:rowOff>59838</xdr:rowOff>
    </xdr:from>
    <xdr:to>
      <xdr:col>3</xdr:col>
      <xdr:colOff>306021</xdr:colOff>
      <xdr:row>22</xdr:row>
      <xdr:rowOff>8061</xdr:rowOff>
    </xdr:to>
    <xdr:sp macro="" textlink="">
      <xdr:nvSpPr>
        <xdr:cNvPr id="12" name="Rounded Rectangle 11">
          <a:hlinkClick xmlns:r="http://schemas.openxmlformats.org/officeDocument/2006/relationships" r:id="rId9"/>
        </xdr:cNvPr>
        <xdr:cNvSpPr/>
      </xdr:nvSpPr>
      <xdr:spPr>
        <a:xfrm>
          <a:off x="144096" y="3946038"/>
          <a:ext cx="1990725" cy="329223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0">
              <a:solidFill>
                <a:schemeClr val="bg2">
                  <a:lumMod val="90000"/>
                </a:schemeClr>
              </a:solidFill>
            </a:rPr>
            <a:t>September</a:t>
          </a:r>
        </a:p>
      </xdr:txBody>
    </xdr:sp>
    <xdr:clientData/>
  </xdr:twoCellAnchor>
  <xdr:twoCellAnchor>
    <xdr:from>
      <xdr:col>0</xdr:col>
      <xdr:colOff>145561</xdr:colOff>
      <xdr:row>22</xdr:row>
      <xdr:rowOff>54462</xdr:rowOff>
    </xdr:from>
    <xdr:to>
      <xdr:col>3</xdr:col>
      <xdr:colOff>307486</xdr:colOff>
      <xdr:row>24</xdr:row>
      <xdr:rowOff>9280</xdr:rowOff>
    </xdr:to>
    <xdr:sp macro="" textlink="">
      <xdr:nvSpPr>
        <xdr:cNvPr id="13" name="Rounded Rectangle 12">
          <a:hlinkClick xmlns:r="http://schemas.openxmlformats.org/officeDocument/2006/relationships" r:id="rId10"/>
        </xdr:cNvPr>
        <xdr:cNvSpPr/>
      </xdr:nvSpPr>
      <xdr:spPr>
        <a:xfrm>
          <a:off x="145561" y="4321662"/>
          <a:ext cx="1990725" cy="335818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0">
              <a:solidFill>
                <a:schemeClr val="bg2">
                  <a:lumMod val="90000"/>
                </a:schemeClr>
              </a:solidFill>
            </a:rPr>
            <a:t>October</a:t>
          </a:r>
        </a:p>
      </xdr:txBody>
    </xdr:sp>
    <xdr:clientData/>
  </xdr:twoCellAnchor>
  <xdr:twoCellAnchor>
    <xdr:from>
      <xdr:col>0</xdr:col>
      <xdr:colOff>160459</xdr:colOff>
      <xdr:row>24</xdr:row>
      <xdr:rowOff>64965</xdr:rowOff>
    </xdr:from>
    <xdr:to>
      <xdr:col>3</xdr:col>
      <xdr:colOff>322384</xdr:colOff>
      <xdr:row>26</xdr:row>
      <xdr:rowOff>25645</xdr:rowOff>
    </xdr:to>
    <xdr:sp macro="" textlink="">
      <xdr:nvSpPr>
        <xdr:cNvPr id="14" name="Rounded Rectangle 13">
          <a:hlinkClick xmlns:r="http://schemas.openxmlformats.org/officeDocument/2006/relationships" r:id="rId11"/>
        </xdr:cNvPr>
        <xdr:cNvSpPr/>
      </xdr:nvSpPr>
      <xdr:spPr>
        <a:xfrm>
          <a:off x="160459" y="4713165"/>
          <a:ext cx="1990725" cy="351205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0">
              <a:solidFill>
                <a:schemeClr val="bg2">
                  <a:lumMod val="90000"/>
                </a:schemeClr>
              </a:solidFill>
            </a:rPr>
            <a:t>November</a:t>
          </a:r>
        </a:p>
      </xdr:txBody>
    </xdr:sp>
    <xdr:clientData/>
  </xdr:twoCellAnchor>
  <xdr:twoCellAnchor>
    <xdr:from>
      <xdr:col>0</xdr:col>
      <xdr:colOff>155086</xdr:colOff>
      <xdr:row>26</xdr:row>
      <xdr:rowOff>70583</xdr:rowOff>
    </xdr:from>
    <xdr:to>
      <xdr:col>3</xdr:col>
      <xdr:colOff>317011</xdr:colOff>
      <xdr:row>28</xdr:row>
      <xdr:rowOff>57150</xdr:rowOff>
    </xdr:to>
    <xdr:sp macro="" textlink="">
      <xdr:nvSpPr>
        <xdr:cNvPr id="15" name="Rounded Rectangle 14">
          <a:hlinkClick xmlns:r="http://schemas.openxmlformats.org/officeDocument/2006/relationships" r:id="rId12"/>
        </xdr:cNvPr>
        <xdr:cNvSpPr/>
      </xdr:nvSpPr>
      <xdr:spPr>
        <a:xfrm>
          <a:off x="155086" y="5109308"/>
          <a:ext cx="1990725" cy="367567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0">
              <a:solidFill>
                <a:schemeClr val="bg2">
                  <a:lumMod val="90000"/>
                </a:schemeClr>
              </a:solidFill>
            </a:rPr>
            <a:t>December</a:t>
          </a:r>
        </a:p>
      </xdr:txBody>
    </xdr:sp>
    <xdr:clientData/>
  </xdr:twoCellAnchor>
  <xdr:twoCellAnchor>
    <xdr:from>
      <xdr:col>41</xdr:col>
      <xdr:colOff>24741</xdr:colOff>
      <xdr:row>0</xdr:row>
      <xdr:rowOff>12370</xdr:rowOff>
    </xdr:from>
    <xdr:to>
      <xdr:col>57</xdr:col>
      <xdr:colOff>148442</xdr:colOff>
      <xdr:row>3</xdr:row>
      <xdr:rowOff>0</xdr:rowOff>
    </xdr:to>
    <xdr:sp macro="" textlink="">
      <xdr:nvSpPr>
        <xdr:cNvPr id="16" name="Rectangle 15"/>
        <xdr:cNvSpPr/>
      </xdr:nvSpPr>
      <xdr:spPr>
        <a:xfrm>
          <a:off x="16760166" y="12370"/>
          <a:ext cx="13372976" cy="559130"/>
        </a:xfrm>
        <a:prstGeom prst="rect">
          <a:avLst/>
        </a:prstGeom>
        <a:solidFill>
          <a:srgbClr val="FF9900"/>
        </a:solidFill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3200" b="1">
              <a:solidFill>
                <a:schemeClr val="tx1"/>
              </a:solidFill>
            </a:rPr>
            <a:t>MONTHLY </a:t>
          </a:r>
          <a:r>
            <a:rPr lang="en-US" sz="3600" b="1">
              <a:solidFill>
                <a:schemeClr val="tx1"/>
              </a:solidFill>
            </a:rPr>
            <a:t>REPORT</a:t>
          </a:r>
        </a:p>
      </xdr:txBody>
    </xdr:sp>
    <xdr:clientData/>
  </xdr:twoCellAnchor>
  <xdr:twoCellAnchor>
    <xdr:from>
      <xdr:col>7</xdr:col>
      <xdr:colOff>371468</xdr:colOff>
      <xdr:row>0</xdr:row>
      <xdr:rowOff>142874</xdr:rowOff>
    </xdr:from>
    <xdr:to>
      <xdr:col>8</xdr:col>
      <xdr:colOff>293804</xdr:colOff>
      <xdr:row>2</xdr:row>
      <xdr:rowOff>87187</xdr:rowOff>
    </xdr:to>
    <xdr:sp macro="" textlink="$K$4">
      <xdr:nvSpPr>
        <xdr:cNvPr id="17" name="TextBox 16"/>
        <xdr:cNvSpPr txBox="1"/>
      </xdr:nvSpPr>
      <xdr:spPr>
        <a:xfrm>
          <a:off x="4810118" y="142874"/>
          <a:ext cx="1055811" cy="3253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FDEDC129-0A7F-4630-BA04-D6C866EC8672}" type="TxLink">
            <a:rPr lang="en-US" sz="1600" b="1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28-Feb-25</a:t>
          </a:fld>
          <a:endParaRPr lang="en-US" sz="1600" b="1"/>
        </a:p>
      </xdr:txBody>
    </xdr:sp>
    <xdr:clientData/>
  </xdr:twoCellAnchor>
  <xdr:twoCellAnchor>
    <xdr:from>
      <xdr:col>2</xdr:col>
      <xdr:colOff>600209</xdr:colOff>
      <xdr:row>0</xdr:row>
      <xdr:rowOff>142385</xdr:rowOff>
    </xdr:from>
    <xdr:to>
      <xdr:col>4</xdr:col>
      <xdr:colOff>457200</xdr:colOff>
      <xdr:row>2</xdr:row>
      <xdr:rowOff>81328</xdr:rowOff>
    </xdr:to>
    <xdr:sp macro="" textlink="">
      <xdr:nvSpPr>
        <xdr:cNvPr id="18" name="TextBox 17"/>
        <xdr:cNvSpPr txBox="1"/>
      </xdr:nvSpPr>
      <xdr:spPr>
        <a:xfrm>
          <a:off x="1819409" y="142385"/>
          <a:ext cx="1076191" cy="319943"/>
        </a:xfrm>
        <a:prstGeom prst="rect">
          <a:avLst/>
        </a:prstGeom>
        <a:solidFill>
          <a:srgbClr val="FF99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000" b="1"/>
            <a:t>From</a:t>
          </a:r>
          <a:endParaRPr lang="en-US" sz="1100" b="1"/>
        </a:p>
      </xdr:txBody>
    </xdr:sp>
    <xdr:clientData/>
  </xdr:twoCellAnchor>
  <xdr:twoCellAnchor>
    <xdr:from>
      <xdr:col>4</xdr:col>
      <xdr:colOff>465257</xdr:colOff>
      <xdr:row>0</xdr:row>
      <xdr:rowOff>142385</xdr:rowOff>
    </xdr:from>
    <xdr:to>
      <xdr:col>6</xdr:col>
      <xdr:colOff>369029</xdr:colOff>
      <xdr:row>2</xdr:row>
      <xdr:rowOff>81326</xdr:rowOff>
    </xdr:to>
    <xdr:sp macro="" textlink="$H$4">
      <xdr:nvSpPr>
        <xdr:cNvPr id="19" name="TextBox 18"/>
        <xdr:cNvSpPr txBox="1"/>
      </xdr:nvSpPr>
      <xdr:spPr>
        <a:xfrm>
          <a:off x="2903657" y="142385"/>
          <a:ext cx="1122972" cy="31994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3786EEC2-464A-469E-BA84-9467F94783BA}" type="TxLink">
            <a:rPr lang="en-US" sz="1600" b="1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01-Feb-25</a:t>
          </a:fld>
          <a:endParaRPr lang="en-US" sz="2000" b="1"/>
        </a:p>
      </xdr:txBody>
    </xdr:sp>
    <xdr:clientData/>
  </xdr:twoCellAnchor>
  <xdr:twoCellAnchor>
    <xdr:from>
      <xdr:col>6</xdr:col>
      <xdr:colOff>516607</xdr:colOff>
      <xdr:row>0</xdr:row>
      <xdr:rowOff>142875</xdr:rowOff>
    </xdr:from>
    <xdr:to>
      <xdr:col>7</xdr:col>
      <xdr:colOff>368120</xdr:colOff>
      <xdr:row>2</xdr:row>
      <xdr:rowOff>81818</xdr:rowOff>
    </xdr:to>
    <xdr:sp macro="" textlink="">
      <xdr:nvSpPr>
        <xdr:cNvPr id="20" name="TextBox 19"/>
        <xdr:cNvSpPr txBox="1"/>
      </xdr:nvSpPr>
      <xdr:spPr>
        <a:xfrm>
          <a:off x="4174207" y="142875"/>
          <a:ext cx="632563" cy="319943"/>
        </a:xfrm>
        <a:prstGeom prst="rect">
          <a:avLst/>
        </a:prstGeom>
        <a:solidFill>
          <a:srgbClr val="FF99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000" b="1"/>
            <a:t>To</a:t>
          </a:r>
        </a:p>
      </xdr:txBody>
    </xdr:sp>
    <xdr:clientData/>
  </xdr:twoCellAnchor>
  <xdr:twoCellAnchor>
    <xdr:from>
      <xdr:col>9</xdr:col>
      <xdr:colOff>104773</xdr:colOff>
      <xdr:row>0</xdr:row>
      <xdr:rowOff>95251</xdr:rowOff>
    </xdr:from>
    <xdr:to>
      <xdr:col>28</xdr:col>
      <xdr:colOff>147410</xdr:colOff>
      <xdr:row>2</xdr:row>
      <xdr:rowOff>133351</xdr:rowOff>
    </xdr:to>
    <xdr:sp macro="" textlink="">
      <xdr:nvSpPr>
        <xdr:cNvPr id="21" name="Rectangle 20"/>
        <xdr:cNvSpPr/>
      </xdr:nvSpPr>
      <xdr:spPr>
        <a:xfrm>
          <a:off x="6307362" y="95251"/>
          <a:ext cx="6177191" cy="423636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110465</xdr:colOff>
      <xdr:row>1</xdr:row>
      <xdr:rowOff>12369</xdr:rowOff>
    </xdr:from>
    <xdr:to>
      <xdr:col>19</xdr:col>
      <xdr:colOff>148441</xdr:colOff>
      <xdr:row>2</xdr:row>
      <xdr:rowOff>23872</xdr:rowOff>
    </xdr:to>
    <xdr:sp macro="" textlink="">
      <xdr:nvSpPr>
        <xdr:cNvPr id="22" name="TextBox 21"/>
        <xdr:cNvSpPr txBox="1"/>
      </xdr:nvSpPr>
      <xdr:spPr>
        <a:xfrm>
          <a:off x="6644615" y="202869"/>
          <a:ext cx="3028826" cy="202003"/>
        </a:xfrm>
        <a:prstGeom prst="rect">
          <a:avLst/>
        </a:prstGeom>
        <a:solidFill>
          <a:schemeClr val="bg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800" b="1"/>
            <a:t>Dashboard For</a:t>
          </a:r>
          <a:r>
            <a:rPr lang="en-US" sz="1800" b="1" baseline="0"/>
            <a:t> The Month Of    </a:t>
          </a:r>
          <a:endParaRPr lang="en-US" sz="1800" b="1"/>
        </a:p>
      </xdr:txBody>
    </xdr:sp>
    <xdr:clientData/>
  </xdr:twoCellAnchor>
  <xdr:twoCellAnchor editAs="oneCell">
    <xdr:from>
      <xdr:col>9</xdr:col>
      <xdr:colOff>107128</xdr:colOff>
      <xdr:row>0</xdr:row>
      <xdr:rowOff>133530</xdr:rowOff>
    </xdr:from>
    <xdr:to>
      <xdr:col>10</xdr:col>
      <xdr:colOff>79043</xdr:colOff>
      <xdr:row>2</xdr:row>
      <xdr:rowOff>114536</xdr:rowOff>
    </xdr:to>
    <xdr:pic>
      <xdr:nvPicPr>
        <xdr:cNvPr id="23" name="Picture 22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 rot="5158119">
          <a:off x="6270020" y="152363"/>
          <a:ext cx="362006" cy="324340"/>
        </a:xfrm>
        <a:prstGeom prst="rect">
          <a:avLst/>
        </a:prstGeom>
      </xdr:spPr>
    </xdr:pic>
    <xdr:clientData/>
  </xdr:twoCellAnchor>
  <xdr:twoCellAnchor>
    <xdr:from>
      <xdr:col>19</xdr:col>
      <xdr:colOff>112566</xdr:colOff>
      <xdr:row>0</xdr:row>
      <xdr:rowOff>134379</xdr:rowOff>
    </xdr:from>
    <xdr:to>
      <xdr:col>24</xdr:col>
      <xdr:colOff>112566</xdr:colOff>
      <xdr:row>2</xdr:row>
      <xdr:rowOff>86755</xdr:rowOff>
    </xdr:to>
    <xdr:sp macro="" textlink="$O$4">
      <xdr:nvSpPr>
        <xdr:cNvPr id="24" name="TextBox 23"/>
        <xdr:cNvSpPr txBox="1"/>
      </xdr:nvSpPr>
      <xdr:spPr>
        <a:xfrm>
          <a:off x="9637566" y="134379"/>
          <a:ext cx="1576161" cy="337912"/>
        </a:xfrm>
        <a:prstGeom prst="rect">
          <a:avLst/>
        </a:prstGeom>
        <a:solidFill>
          <a:srgbClr val="FF99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34BAD96D-33B3-407C-843D-30EA8E6C9ECE}" type="TxLink">
            <a:rPr lang="en-US" sz="2400" b="1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February</a:t>
          </a:fld>
          <a:endParaRPr lang="en-US" sz="2400" b="1"/>
        </a:p>
      </xdr:txBody>
    </xdr:sp>
    <xdr:clientData/>
  </xdr:twoCellAnchor>
  <xdr:twoCellAnchor>
    <xdr:from>
      <xdr:col>29</xdr:col>
      <xdr:colOff>52336</xdr:colOff>
      <xdr:row>0</xdr:row>
      <xdr:rowOff>167472</xdr:rowOff>
    </xdr:from>
    <xdr:to>
      <xdr:col>30</xdr:col>
      <xdr:colOff>73270</xdr:colOff>
      <xdr:row>2</xdr:row>
      <xdr:rowOff>52335</xdr:rowOff>
    </xdr:to>
    <xdr:sp macro="" textlink="">
      <xdr:nvSpPr>
        <xdr:cNvPr id="25" name="TextBox 24"/>
        <xdr:cNvSpPr txBox="1"/>
      </xdr:nvSpPr>
      <xdr:spPr>
        <a:xfrm>
          <a:off x="12749161" y="167472"/>
          <a:ext cx="306684" cy="26586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29</xdr:col>
      <xdr:colOff>167471</xdr:colOff>
      <xdr:row>1</xdr:row>
      <xdr:rowOff>62802</xdr:rowOff>
    </xdr:from>
    <xdr:to>
      <xdr:col>30</xdr:col>
      <xdr:colOff>20933</xdr:colOff>
      <xdr:row>1</xdr:row>
      <xdr:rowOff>167472</xdr:rowOff>
    </xdr:to>
    <xdr:sp macro="" textlink="">
      <xdr:nvSpPr>
        <xdr:cNvPr id="26" name="Flowchart: Connector 25"/>
        <xdr:cNvSpPr/>
      </xdr:nvSpPr>
      <xdr:spPr>
        <a:xfrm>
          <a:off x="12864296" y="253302"/>
          <a:ext cx="139212" cy="104670"/>
        </a:xfrm>
        <a:prstGeom prst="flowChartConnector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noFill/>
          </a:endParaRPr>
        </a:p>
      </xdr:txBody>
    </xdr:sp>
    <xdr:clientData/>
  </xdr:twoCellAnchor>
  <xdr:twoCellAnchor>
    <xdr:from>
      <xdr:col>33</xdr:col>
      <xdr:colOff>136071</xdr:colOff>
      <xdr:row>0</xdr:row>
      <xdr:rowOff>167473</xdr:rowOff>
    </xdr:from>
    <xdr:to>
      <xdr:col>34</xdr:col>
      <xdr:colOff>52334</xdr:colOff>
      <xdr:row>2</xdr:row>
      <xdr:rowOff>73270</xdr:rowOff>
    </xdr:to>
    <xdr:sp macro="" textlink="">
      <xdr:nvSpPr>
        <xdr:cNvPr id="27" name="TextBox 26"/>
        <xdr:cNvSpPr txBox="1"/>
      </xdr:nvSpPr>
      <xdr:spPr>
        <a:xfrm>
          <a:off x="14080671" y="167473"/>
          <a:ext cx="202013" cy="28679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33</xdr:col>
      <xdr:colOff>141933</xdr:colOff>
      <xdr:row>1</xdr:row>
      <xdr:rowOff>79131</xdr:rowOff>
    </xdr:from>
    <xdr:to>
      <xdr:col>33</xdr:col>
      <xdr:colOff>278005</xdr:colOff>
      <xdr:row>1</xdr:row>
      <xdr:rowOff>183801</xdr:rowOff>
    </xdr:to>
    <xdr:sp macro="" textlink="">
      <xdr:nvSpPr>
        <xdr:cNvPr id="28" name="Flowchart: Connector 27"/>
        <xdr:cNvSpPr/>
      </xdr:nvSpPr>
      <xdr:spPr>
        <a:xfrm>
          <a:off x="14086533" y="269631"/>
          <a:ext cx="136072" cy="104670"/>
        </a:xfrm>
        <a:prstGeom prst="flowChartConnector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noFill/>
          </a:endParaRPr>
        </a:p>
      </xdr:txBody>
    </xdr:sp>
    <xdr:clientData/>
  </xdr:twoCellAnchor>
  <xdr:twoCellAnchor>
    <xdr:from>
      <xdr:col>37</xdr:col>
      <xdr:colOff>83734</xdr:colOff>
      <xdr:row>0</xdr:row>
      <xdr:rowOff>147795</xdr:rowOff>
    </xdr:from>
    <xdr:to>
      <xdr:col>37</xdr:col>
      <xdr:colOff>272141</xdr:colOff>
      <xdr:row>2</xdr:row>
      <xdr:rowOff>41869</xdr:rowOff>
    </xdr:to>
    <xdr:sp macro="" textlink="">
      <xdr:nvSpPr>
        <xdr:cNvPr id="29" name="TextBox 28"/>
        <xdr:cNvSpPr txBox="1"/>
      </xdr:nvSpPr>
      <xdr:spPr>
        <a:xfrm>
          <a:off x="15228484" y="147795"/>
          <a:ext cx="188407" cy="27507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37</xdr:col>
      <xdr:colOff>116393</xdr:colOff>
      <xdr:row>1</xdr:row>
      <xdr:rowOff>84993</xdr:rowOff>
    </xdr:from>
    <xdr:to>
      <xdr:col>37</xdr:col>
      <xdr:colOff>252465</xdr:colOff>
      <xdr:row>2</xdr:row>
      <xdr:rowOff>1257</xdr:rowOff>
    </xdr:to>
    <xdr:sp macro="" textlink="">
      <xdr:nvSpPr>
        <xdr:cNvPr id="30" name="Flowchart: Connector 29"/>
        <xdr:cNvSpPr/>
      </xdr:nvSpPr>
      <xdr:spPr>
        <a:xfrm>
          <a:off x="15261143" y="275493"/>
          <a:ext cx="136072" cy="106764"/>
        </a:xfrm>
        <a:prstGeom prst="flowChartConnector">
          <a:avLst/>
        </a:prstGeom>
        <a:solidFill>
          <a:srgbClr val="FFFF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noFill/>
          </a:endParaRPr>
        </a:p>
      </xdr:txBody>
    </xdr:sp>
    <xdr:clientData/>
  </xdr:twoCellAnchor>
  <xdr:twoCellAnchor>
    <xdr:from>
      <xdr:col>29</xdr:col>
      <xdr:colOff>272144</xdr:colOff>
      <xdr:row>0</xdr:row>
      <xdr:rowOff>125604</xdr:rowOff>
    </xdr:from>
    <xdr:to>
      <xdr:col>33</xdr:col>
      <xdr:colOff>41869</xdr:colOff>
      <xdr:row>2</xdr:row>
      <xdr:rowOff>73269</xdr:rowOff>
    </xdr:to>
    <xdr:sp macro="" textlink="">
      <xdr:nvSpPr>
        <xdr:cNvPr id="31" name="TextBox 30"/>
        <xdr:cNvSpPr txBox="1"/>
      </xdr:nvSpPr>
      <xdr:spPr>
        <a:xfrm>
          <a:off x="12968969" y="125604"/>
          <a:ext cx="1017500" cy="32866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000" b="1">
              <a:solidFill>
                <a:schemeClr val="bg1"/>
              </a:solidFill>
            </a:rPr>
            <a:t>Present</a:t>
          </a:r>
        </a:p>
      </xdr:txBody>
    </xdr:sp>
    <xdr:clientData/>
  </xdr:twoCellAnchor>
  <xdr:twoCellAnchor>
    <xdr:from>
      <xdr:col>33</xdr:col>
      <xdr:colOff>251209</xdr:colOff>
      <xdr:row>0</xdr:row>
      <xdr:rowOff>157006</xdr:rowOff>
    </xdr:from>
    <xdr:to>
      <xdr:col>36</xdr:col>
      <xdr:colOff>272142</xdr:colOff>
      <xdr:row>2</xdr:row>
      <xdr:rowOff>73272</xdr:rowOff>
    </xdr:to>
    <xdr:sp macro="" textlink="">
      <xdr:nvSpPr>
        <xdr:cNvPr id="32" name="TextBox 31"/>
        <xdr:cNvSpPr txBox="1"/>
      </xdr:nvSpPr>
      <xdr:spPr>
        <a:xfrm>
          <a:off x="14195809" y="157006"/>
          <a:ext cx="935333" cy="29726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000" b="1">
              <a:solidFill>
                <a:schemeClr val="bg1"/>
              </a:solidFill>
            </a:rPr>
            <a:t>Absent</a:t>
          </a:r>
          <a:endParaRPr lang="en-US" sz="1600" b="1">
            <a:solidFill>
              <a:schemeClr val="bg1"/>
            </a:solidFill>
          </a:endParaRPr>
        </a:p>
      </xdr:txBody>
    </xdr:sp>
    <xdr:clientData/>
  </xdr:twoCellAnchor>
  <xdr:twoCellAnchor>
    <xdr:from>
      <xdr:col>37</xdr:col>
      <xdr:colOff>198873</xdr:colOff>
      <xdr:row>0</xdr:row>
      <xdr:rowOff>146539</xdr:rowOff>
    </xdr:from>
    <xdr:to>
      <xdr:col>40</xdr:col>
      <xdr:colOff>20934</xdr:colOff>
      <xdr:row>2</xdr:row>
      <xdr:rowOff>104671</xdr:rowOff>
    </xdr:to>
    <xdr:sp macro="" textlink="">
      <xdr:nvSpPr>
        <xdr:cNvPr id="33" name="TextBox 32"/>
        <xdr:cNvSpPr txBox="1"/>
      </xdr:nvSpPr>
      <xdr:spPr>
        <a:xfrm>
          <a:off x="15343623" y="146539"/>
          <a:ext cx="803136" cy="33913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000" b="1">
              <a:solidFill>
                <a:schemeClr val="bg1"/>
              </a:solidFill>
            </a:rPr>
            <a:t>Leave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</xdr:rowOff>
    </xdr:from>
    <xdr:to>
      <xdr:col>2</xdr:col>
      <xdr:colOff>590550</xdr:colOff>
      <xdr:row>28</xdr:row>
      <xdr:rowOff>139391</xdr:rowOff>
    </xdr:to>
    <xdr:sp macro="" textlink="">
      <xdr:nvSpPr>
        <xdr:cNvPr id="2" name="Rectangle 1"/>
        <xdr:cNvSpPr/>
      </xdr:nvSpPr>
      <xdr:spPr>
        <a:xfrm>
          <a:off x="0" y="1"/>
          <a:ext cx="1798599" cy="5436219"/>
        </a:xfrm>
        <a:prstGeom prst="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b="1"/>
        </a:p>
      </xdr:txBody>
    </xdr:sp>
    <xdr:clientData/>
  </xdr:twoCellAnchor>
  <xdr:twoCellAnchor>
    <xdr:from>
      <xdr:col>2</xdr:col>
      <xdr:colOff>492672</xdr:colOff>
      <xdr:row>0</xdr:row>
      <xdr:rowOff>10467</xdr:rowOff>
    </xdr:from>
    <xdr:to>
      <xdr:col>40</xdr:col>
      <xdr:colOff>296883</xdr:colOff>
      <xdr:row>3</xdr:row>
      <xdr:rowOff>34889</xdr:rowOff>
    </xdr:to>
    <xdr:sp macro="" textlink="">
      <xdr:nvSpPr>
        <xdr:cNvPr id="3" name="Rectangle 2"/>
        <xdr:cNvSpPr/>
      </xdr:nvSpPr>
      <xdr:spPr>
        <a:xfrm>
          <a:off x="1711872" y="10467"/>
          <a:ext cx="14710836" cy="595922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124663</xdr:colOff>
      <xdr:row>3</xdr:row>
      <xdr:rowOff>149714</xdr:rowOff>
    </xdr:from>
    <xdr:to>
      <xdr:col>3</xdr:col>
      <xdr:colOff>286588</xdr:colOff>
      <xdr:row>5</xdr:row>
      <xdr:rowOff>140190</xdr:rowOff>
    </xdr:to>
    <xdr:sp macro="" textlink="">
      <xdr:nvSpPr>
        <xdr:cNvPr id="4" name="Rounded Rectangle 3">
          <a:hlinkClick xmlns:r="http://schemas.openxmlformats.org/officeDocument/2006/relationships" r:id="rId1"/>
        </xdr:cNvPr>
        <xdr:cNvSpPr/>
      </xdr:nvSpPr>
      <xdr:spPr>
        <a:xfrm>
          <a:off x="124663" y="714934"/>
          <a:ext cx="1983189" cy="388223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0">
              <a:solidFill>
                <a:schemeClr val="bg2">
                  <a:lumMod val="90000"/>
                </a:schemeClr>
              </a:solidFill>
              <a:latin typeface="+mn-lt"/>
              <a:ea typeface="+mn-ea"/>
              <a:cs typeface="+mn-cs"/>
            </a:rPr>
            <a:t>January</a:t>
          </a:r>
        </a:p>
      </xdr:txBody>
    </xdr:sp>
    <xdr:clientData/>
  </xdr:twoCellAnchor>
  <xdr:twoCellAnchor>
    <xdr:from>
      <xdr:col>0</xdr:col>
      <xdr:colOff>150935</xdr:colOff>
      <xdr:row>16</xdr:row>
      <xdr:rowOff>48846</xdr:rowOff>
    </xdr:from>
    <xdr:to>
      <xdr:col>3</xdr:col>
      <xdr:colOff>312860</xdr:colOff>
      <xdr:row>17</xdr:row>
      <xdr:rowOff>186105</xdr:rowOff>
    </xdr:to>
    <xdr:sp macro="" textlink="">
      <xdr:nvSpPr>
        <xdr:cNvPr id="5" name="Rounded Rectangle 4">
          <a:hlinkClick xmlns:r="http://schemas.openxmlformats.org/officeDocument/2006/relationships" r:id="rId2"/>
        </xdr:cNvPr>
        <xdr:cNvSpPr/>
      </xdr:nvSpPr>
      <xdr:spPr>
        <a:xfrm>
          <a:off x="150935" y="3173046"/>
          <a:ext cx="1990725" cy="327759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0">
              <a:solidFill>
                <a:schemeClr val="bg2">
                  <a:lumMod val="90000"/>
                </a:schemeClr>
              </a:solidFill>
            </a:rPr>
            <a:t>July</a:t>
          </a:r>
        </a:p>
      </xdr:txBody>
    </xdr:sp>
    <xdr:clientData/>
  </xdr:twoCellAnchor>
  <xdr:twoCellAnchor>
    <xdr:from>
      <xdr:col>0</xdr:col>
      <xdr:colOff>146783</xdr:colOff>
      <xdr:row>18</xdr:row>
      <xdr:rowOff>58371</xdr:rowOff>
    </xdr:from>
    <xdr:to>
      <xdr:col>3</xdr:col>
      <xdr:colOff>308708</xdr:colOff>
      <xdr:row>20</xdr:row>
      <xdr:rowOff>3419</xdr:rowOff>
    </xdr:to>
    <xdr:sp macro="" textlink="">
      <xdr:nvSpPr>
        <xdr:cNvPr id="6" name="Rounded Rectangle 5">
          <a:hlinkClick xmlns:r="http://schemas.openxmlformats.org/officeDocument/2006/relationships" r:id="rId3"/>
        </xdr:cNvPr>
        <xdr:cNvSpPr/>
      </xdr:nvSpPr>
      <xdr:spPr>
        <a:xfrm>
          <a:off x="146783" y="3563571"/>
          <a:ext cx="1990725" cy="326048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0">
              <a:solidFill>
                <a:schemeClr val="bg2">
                  <a:lumMod val="90000"/>
                </a:schemeClr>
              </a:solidFill>
            </a:rPr>
            <a:t>August</a:t>
          </a:r>
        </a:p>
      </xdr:txBody>
    </xdr:sp>
    <xdr:clientData/>
  </xdr:twoCellAnchor>
  <xdr:twoCellAnchor>
    <xdr:from>
      <xdr:col>0</xdr:col>
      <xdr:colOff>559429</xdr:colOff>
      <xdr:row>7</xdr:row>
      <xdr:rowOff>182197</xdr:rowOff>
    </xdr:from>
    <xdr:to>
      <xdr:col>4</xdr:col>
      <xdr:colOff>114266</xdr:colOff>
      <xdr:row>9</xdr:row>
      <xdr:rowOff>142875</xdr:rowOff>
    </xdr:to>
    <xdr:sp macro="" textlink="">
      <xdr:nvSpPr>
        <xdr:cNvPr id="7" name="Rounded Rectangle 6">
          <a:hlinkClick xmlns:r="http://schemas.openxmlformats.org/officeDocument/2006/relationships" r:id="rId4"/>
        </xdr:cNvPr>
        <xdr:cNvSpPr/>
      </xdr:nvSpPr>
      <xdr:spPr>
        <a:xfrm>
          <a:off x="559429" y="1595246"/>
          <a:ext cx="1983189" cy="358426"/>
        </a:xfrm>
        <a:prstGeom prst="roundRect">
          <a:avLst/>
        </a:prstGeom>
        <a:solidFill>
          <a:schemeClr val="bg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 b="1">
              <a:solidFill>
                <a:schemeClr val="tx1"/>
              </a:solidFill>
              <a:latin typeface="+mn-lt"/>
              <a:ea typeface="+mn-ea"/>
              <a:cs typeface="+mn-cs"/>
            </a:rPr>
            <a:t>March</a:t>
          </a:r>
        </a:p>
      </xdr:txBody>
    </xdr:sp>
    <xdr:clientData/>
  </xdr:twoCellAnchor>
  <xdr:twoCellAnchor>
    <xdr:from>
      <xdr:col>0</xdr:col>
      <xdr:colOff>139944</xdr:colOff>
      <xdr:row>10</xdr:row>
      <xdr:rowOff>10745</xdr:rowOff>
    </xdr:from>
    <xdr:to>
      <xdr:col>3</xdr:col>
      <xdr:colOff>301869</xdr:colOff>
      <xdr:row>11</xdr:row>
      <xdr:rowOff>148003</xdr:rowOff>
    </xdr:to>
    <xdr:sp macro="" textlink="">
      <xdr:nvSpPr>
        <xdr:cNvPr id="8" name="Rounded Rectangle 7">
          <a:hlinkClick xmlns:r="http://schemas.openxmlformats.org/officeDocument/2006/relationships" r:id="rId5"/>
        </xdr:cNvPr>
        <xdr:cNvSpPr/>
      </xdr:nvSpPr>
      <xdr:spPr>
        <a:xfrm>
          <a:off x="139944" y="1991945"/>
          <a:ext cx="1990725" cy="327758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0">
              <a:solidFill>
                <a:schemeClr val="bg2">
                  <a:lumMod val="90000"/>
                </a:schemeClr>
              </a:solidFill>
              <a:latin typeface="+mn-lt"/>
              <a:ea typeface="+mn-ea"/>
              <a:cs typeface="+mn-cs"/>
            </a:rPr>
            <a:t>April</a:t>
          </a:r>
        </a:p>
      </xdr:txBody>
    </xdr:sp>
    <xdr:clientData/>
  </xdr:twoCellAnchor>
  <xdr:twoCellAnchor>
    <xdr:from>
      <xdr:col>0</xdr:col>
      <xdr:colOff>154843</xdr:colOff>
      <xdr:row>5</xdr:row>
      <xdr:rowOff>209550</xdr:rowOff>
    </xdr:from>
    <xdr:to>
      <xdr:col>3</xdr:col>
      <xdr:colOff>316768</xdr:colOff>
      <xdr:row>7</xdr:row>
      <xdr:rowOff>125048</xdr:rowOff>
    </xdr:to>
    <xdr:sp macro="" textlink="">
      <xdr:nvSpPr>
        <xdr:cNvPr id="9" name="Rounded Rectangle 8">
          <a:hlinkClick xmlns:r="http://schemas.openxmlformats.org/officeDocument/2006/relationships" r:id="rId6"/>
        </xdr:cNvPr>
        <xdr:cNvSpPr/>
      </xdr:nvSpPr>
      <xdr:spPr>
        <a:xfrm>
          <a:off x="154843" y="1181100"/>
          <a:ext cx="1990725" cy="353648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0">
              <a:solidFill>
                <a:schemeClr val="bg2">
                  <a:lumMod val="90000"/>
                </a:schemeClr>
              </a:solidFill>
            </a:rPr>
            <a:t>February</a:t>
          </a:r>
        </a:p>
      </xdr:txBody>
    </xdr:sp>
    <xdr:clientData/>
  </xdr:twoCellAnchor>
  <xdr:twoCellAnchor>
    <xdr:from>
      <xdr:col>0</xdr:col>
      <xdr:colOff>149469</xdr:colOff>
      <xdr:row>12</xdr:row>
      <xdr:rowOff>14899</xdr:rowOff>
    </xdr:from>
    <xdr:to>
      <xdr:col>3</xdr:col>
      <xdr:colOff>311394</xdr:colOff>
      <xdr:row>13</xdr:row>
      <xdr:rowOff>176824</xdr:rowOff>
    </xdr:to>
    <xdr:sp macro="" textlink="">
      <xdr:nvSpPr>
        <xdr:cNvPr id="10" name="Rounded Rectangle 9">
          <a:hlinkClick xmlns:r="http://schemas.openxmlformats.org/officeDocument/2006/relationships" r:id="rId7"/>
        </xdr:cNvPr>
        <xdr:cNvSpPr/>
      </xdr:nvSpPr>
      <xdr:spPr>
        <a:xfrm>
          <a:off x="149469" y="2377099"/>
          <a:ext cx="1990725" cy="352425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0">
              <a:solidFill>
                <a:schemeClr val="bg2">
                  <a:lumMod val="90000"/>
                </a:schemeClr>
              </a:solidFill>
            </a:rPr>
            <a:t>May</a:t>
          </a:r>
        </a:p>
      </xdr:txBody>
    </xdr:sp>
    <xdr:clientData/>
  </xdr:twoCellAnchor>
  <xdr:twoCellAnchor>
    <xdr:from>
      <xdr:col>0</xdr:col>
      <xdr:colOff>153622</xdr:colOff>
      <xdr:row>14</xdr:row>
      <xdr:rowOff>36635</xdr:rowOff>
    </xdr:from>
    <xdr:to>
      <xdr:col>3</xdr:col>
      <xdr:colOff>315547</xdr:colOff>
      <xdr:row>16</xdr:row>
      <xdr:rowOff>732</xdr:rowOff>
    </xdr:to>
    <xdr:sp macro="" textlink="">
      <xdr:nvSpPr>
        <xdr:cNvPr id="11" name="Rounded Rectangle 10">
          <a:hlinkClick xmlns:r="http://schemas.openxmlformats.org/officeDocument/2006/relationships" r:id="rId8"/>
        </xdr:cNvPr>
        <xdr:cNvSpPr/>
      </xdr:nvSpPr>
      <xdr:spPr>
        <a:xfrm>
          <a:off x="153622" y="2779835"/>
          <a:ext cx="1990725" cy="345097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0">
              <a:solidFill>
                <a:schemeClr val="bg2">
                  <a:lumMod val="90000"/>
                </a:schemeClr>
              </a:solidFill>
            </a:rPr>
            <a:t>June</a:t>
          </a:r>
        </a:p>
      </xdr:txBody>
    </xdr:sp>
    <xdr:clientData/>
  </xdr:twoCellAnchor>
  <xdr:twoCellAnchor>
    <xdr:from>
      <xdr:col>0</xdr:col>
      <xdr:colOff>144096</xdr:colOff>
      <xdr:row>20</xdr:row>
      <xdr:rowOff>59838</xdr:rowOff>
    </xdr:from>
    <xdr:to>
      <xdr:col>3</xdr:col>
      <xdr:colOff>306021</xdr:colOff>
      <xdr:row>22</xdr:row>
      <xdr:rowOff>8061</xdr:rowOff>
    </xdr:to>
    <xdr:sp macro="" textlink="">
      <xdr:nvSpPr>
        <xdr:cNvPr id="12" name="Rounded Rectangle 11">
          <a:hlinkClick xmlns:r="http://schemas.openxmlformats.org/officeDocument/2006/relationships" r:id="rId9"/>
        </xdr:cNvPr>
        <xdr:cNvSpPr/>
      </xdr:nvSpPr>
      <xdr:spPr>
        <a:xfrm>
          <a:off x="144096" y="3946038"/>
          <a:ext cx="1990725" cy="329223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0">
              <a:solidFill>
                <a:schemeClr val="bg2">
                  <a:lumMod val="90000"/>
                </a:schemeClr>
              </a:solidFill>
            </a:rPr>
            <a:t>September</a:t>
          </a:r>
        </a:p>
      </xdr:txBody>
    </xdr:sp>
    <xdr:clientData/>
  </xdr:twoCellAnchor>
  <xdr:twoCellAnchor>
    <xdr:from>
      <xdr:col>0</xdr:col>
      <xdr:colOff>145561</xdr:colOff>
      <xdr:row>22</xdr:row>
      <xdr:rowOff>54462</xdr:rowOff>
    </xdr:from>
    <xdr:to>
      <xdr:col>3</xdr:col>
      <xdr:colOff>307486</xdr:colOff>
      <xdr:row>24</xdr:row>
      <xdr:rowOff>9280</xdr:rowOff>
    </xdr:to>
    <xdr:sp macro="" textlink="">
      <xdr:nvSpPr>
        <xdr:cNvPr id="13" name="Rounded Rectangle 12">
          <a:hlinkClick xmlns:r="http://schemas.openxmlformats.org/officeDocument/2006/relationships" r:id="rId10"/>
        </xdr:cNvPr>
        <xdr:cNvSpPr/>
      </xdr:nvSpPr>
      <xdr:spPr>
        <a:xfrm>
          <a:off x="145561" y="4321662"/>
          <a:ext cx="1990725" cy="335818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0">
              <a:solidFill>
                <a:schemeClr val="bg2">
                  <a:lumMod val="90000"/>
                </a:schemeClr>
              </a:solidFill>
            </a:rPr>
            <a:t>October</a:t>
          </a:r>
        </a:p>
      </xdr:txBody>
    </xdr:sp>
    <xdr:clientData/>
  </xdr:twoCellAnchor>
  <xdr:twoCellAnchor>
    <xdr:from>
      <xdr:col>0</xdr:col>
      <xdr:colOff>160459</xdr:colOff>
      <xdr:row>24</xdr:row>
      <xdr:rowOff>64965</xdr:rowOff>
    </xdr:from>
    <xdr:to>
      <xdr:col>3</xdr:col>
      <xdr:colOff>322384</xdr:colOff>
      <xdr:row>26</xdr:row>
      <xdr:rowOff>25645</xdr:rowOff>
    </xdr:to>
    <xdr:sp macro="" textlink="">
      <xdr:nvSpPr>
        <xdr:cNvPr id="14" name="Rounded Rectangle 13">
          <a:hlinkClick xmlns:r="http://schemas.openxmlformats.org/officeDocument/2006/relationships" r:id="rId11"/>
        </xdr:cNvPr>
        <xdr:cNvSpPr/>
      </xdr:nvSpPr>
      <xdr:spPr>
        <a:xfrm>
          <a:off x="160459" y="4713165"/>
          <a:ext cx="1990725" cy="351205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0">
              <a:solidFill>
                <a:schemeClr val="bg2">
                  <a:lumMod val="90000"/>
                </a:schemeClr>
              </a:solidFill>
            </a:rPr>
            <a:t>November</a:t>
          </a:r>
        </a:p>
      </xdr:txBody>
    </xdr:sp>
    <xdr:clientData/>
  </xdr:twoCellAnchor>
  <xdr:twoCellAnchor>
    <xdr:from>
      <xdr:col>0</xdr:col>
      <xdr:colOff>155086</xdr:colOff>
      <xdr:row>26</xdr:row>
      <xdr:rowOff>70583</xdr:rowOff>
    </xdr:from>
    <xdr:to>
      <xdr:col>3</xdr:col>
      <xdr:colOff>317011</xdr:colOff>
      <xdr:row>28</xdr:row>
      <xdr:rowOff>57150</xdr:rowOff>
    </xdr:to>
    <xdr:sp macro="" textlink="">
      <xdr:nvSpPr>
        <xdr:cNvPr id="15" name="Rounded Rectangle 14">
          <a:hlinkClick xmlns:r="http://schemas.openxmlformats.org/officeDocument/2006/relationships" r:id="rId12"/>
        </xdr:cNvPr>
        <xdr:cNvSpPr/>
      </xdr:nvSpPr>
      <xdr:spPr>
        <a:xfrm>
          <a:off x="155086" y="5109308"/>
          <a:ext cx="1990725" cy="367567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0">
              <a:solidFill>
                <a:schemeClr val="bg2">
                  <a:lumMod val="90000"/>
                </a:schemeClr>
              </a:solidFill>
            </a:rPr>
            <a:t>December</a:t>
          </a:r>
        </a:p>
      </xdr:txBody>
    </xdr:sp>
    <xdr:clientData/>
  </xdr:twoCellAnchor>
  <xdr:twoCellAnchor>
    <xdr:from>
      <xdr:col>41</xdr:col>
      <xdr:colOff>24741</xdr:colOff>
      <xdr:row>0</xdr:row>
      <xdr:rowOff>12370</xdr:rowOff>
    </xdr:from>
    <xdr:to>
      <xdr:col>57</xdr:col>
      <xdr:colOff>148442</xdr:colOff>
      <xdr:row>3</xdr:row>
      <xdr:rowOff>0</xdr:rowOff>
    </xdr:to>
    <xdr:sp macro="" textlink="">
      <xdr:nvSpPr>
        <xdr:cNvPr id="16" name="Rectangle 15"/>
        <xdr:cNvSpPr/>
      </xdr:nvSpPr>
      <xdr:spPr>
        <a:xfrm>
          <a:off x="16760166" y="12370"/>
          <a:ext cx="13372976" cy="559130"/>
        </a:xfrm>
        <a:prstGeom prst="rect">
          <a:avLst/>
        </a:prstGeom>
        <a:solidFill>
          <a:srgbClr val="FF9900"/>
        </a:solidFill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3200" b="1">
              <a:solidFill>
                <a:schemeClr val="tx1"/>
              </a:solidFill>
            </a:rPr>
            <a:t>MONTHLY </a:t>
          </a:r>
          <a:r>
            <a:rPr lang="en-US" sz="3600" b="1">
              <a:solidFill>
                <a:schemeClr val="tx1"/>
              </a:solidFill>
            </a:rPr>
            <a:t>REPORT</a:t>
          </a:r>
        </a:p>
      </xdr:txBody>
    </xdr:sp>
    <xdr:clientData/>
  </xdr:twoCellAnchor>
  <xdr:twoCellAnchor>
    <xdr:from>
      <xdr:col>7</xdr:col>
      <xdr:colOff>371468</xdr:colOff>
      <xdr:row>0</xdr:row>
      <xdr:rowOff>142874</xdr:rowOff>
    </xdr:from>
    <xdr:to>
      <xdr:col>8</xdr:col>
      <xdr:colOff>293804</xdr:colOff>
      <xdr:row>2</xdr:row>
      <xdr:rowOff>87187</xdr:rowOff>
    </xdr:to>
    <xdr:sp macro="" textlink="$K$4">
      <xdr:nvSpPr>
        <xdr:cNvPr id="17" name="TextBox 16"/>
        <xdr:cNvSpPr txBox="1"/>
      </xdr:nvSpPr>
      <xdr:spPr>
        <a:xfrm>
          <a:off x="4810118" y="142874"/>
          <a:ext cx="1055811" cy="3253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FDEDC129-0A7F-4630-BA04-D6C866EC8672}" type="TxLink">
            <a:rPr lang="en-US" sz="1600" b="1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31-Mar-25</a:t>
          </a:fld>
          <a:endParaRPr lang="en-US" sz="1600" b="1"/>
        </a:p>
      </xdr:txBody>
    </xdr:sp>
    <xdr:clientData/>
  </xdr:twoCellAnchor>
  <xdr:twoCellAnchor>
    <xdr:from>
      <xdr:col>2</xdr:col>
      <xdr:colOff>600209</xdr:colOff>
      <xdr:row>0</xdr:row>
      <xdr:rowOff>142385</xdr:rowOff>
    </xdr:from>
    <xdr:to>
      <xdr:col>4</xdr:col>
      <xdr:colOff>457200</xdr:colOff>
      <xdr:row>2</xdr:row>
      <xdr:rowOff>81328</xdr:rowOff>
    </xdr:to>
    <xdr:sp macro="" textlink="">
      <xdr:nvSpPr>
        <xdr:cNvPr id="18" name="TextBox 17"/>
        <xdr:cNvSpPr txBox="1"/>
      </xdr:nvSpPr>
      <xdr:spPr>
        <a:xfrm>
          <a:off x="1819409" y="142385"/>
          <a:ext cx="1076191" cy="319943"/>
        </a:xfrm>
        <a:prstGeom prst="rect">
          <a:avLst/>
        </a:prstGeom>
        <a:solidFill>
          <a:srgbClr val="FF99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000" b="1"/>
            <a:t>From</a:t>
          </a:r>
          <a:endParaRPr lang="en-US" sz="1100" b="1"/>
        </a:p>
      </xdr:txBody>
    </xdr:sp>
    <xdr:clientData/>
  </xdr:twoCellAnchor>
  <xdr:twoCellAnchor>
    <xdr:from>
      <xdr:col>4</xdr:col>
      <xdr:colOff>465257</xdr:colOff>
      <xdr:row>0</xdr:row>
      <xdr:rowOff>142385</xdr:rowOff>
    </xdr:from>
    <xdr:to>
      <xdr:col>6</xdr:col>
      <xdr:colOff>369029</xdr:colOff>
      <xdr:row>2</xdr:row>
      <xdr:rowOff>81326</xdr:rowOff>
    </xdr:to>
    <xdr:sp macro="" textlink="$H$4">
      <xdr:nvSpPr>
        <xdr:cNvPr id="19" name="TextBox 18"/>
        <xdr:cNvSpPr txBox="1"/>
      </xdr:nvSpPr>
      <xdr:spPr>
        <a:xfrm>
          <a:off x="2903657" y="142385"/>
          <a:ext cx="1122972" cy="31994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3786EEC2-464A-469E-BA84-9467F94783BA}" type="TxLink">
            <a:rPr lang="en-US" sz="1600" b="1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01-Mar-25</a:t>
          </a:fld>
          <a:endParaRPr lang="en-US" sz="2000" b="1"/>
        </a:p>
      </xdr:txBody>
    </xdr:sp>
    <xdr:clientData/>
  </xdr:twoCellAnchor>
  <xdr:twoCellAnchor>
    <xdr:from>
      <xdr:col>6</xdr:col>
      <xdr:colOff>516607</xdr:colOff>
      <xdr:row>0</xdr:row>
      <xdr:rowOff>142875</xdr:rowOff>
    </xdr:from>
    <xdr:to>
      <xdr:col>7</xdr:col>
      <xdr:colOff>368120</xdr:colOff>
      <xdr:row>2</xdr:row>
      <xdr:rowOff>81818</xdr:rowOff>
    </xdr:to>
    <xdr:sp macro="" textlink="">
      <xdr:nvSpPr>
        <xdr:cNvPr id="20" name="TextBox 19"/>
        <xdr:cNvSpPr txBox="1"/>
      </xdr:nvSpPr>
      <xdr:spPr>
        <a:xfrm>
          <a:off x="4174207" y="142875"/>
          <a:ext cx="632563" cy="319943"/>
        </a:xfrm>
        <a:prstGeom prst="rect">
          <a:avLst/>
        </a:prstGeom>
        <a:solidFill>
          <a:srgbClr val="FF99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000" b="1"/>
            <a:t>To</a:t>
          </a:r>
        </a:p>
      </xdr:txBody>
    </xdr:sp>
    <xdr:clientData/>
  </xdr:twoCellAnchor>
  <xdr:twoCellAnchor>
    <xdr:from>
      <xdr:col>9</xdr:col>
      <xdr:colOff>104774</xdr:colOff>
      <xdr:row>0</xdr:row>
      <xdr:rowOff>95251</xdr:rowOff>
    </xdr:from>
    <xdr:to>
      <xdr:col>28</xdr:col>
      <xdr:colOff>277813</xdr:colOff>
      <xdr:row>2</xdr:row>
      <xdr:rowOff>133351</xdr:rowOff>
    </xdr:to>
    <xdr:sp macro="" textlink="">
      <xdr:nvSpPr>
        <xdr:cNvPr id="21" name="Rectangle 20"/>
        <xdr:cNvSpPr/>
      </xdr:nvSpPr>
      <xdr:spPr>
        <a:xfrm>
          <a:off x="6256337" y="95251"/>
          <a:ext cx="6403976" cy="415131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110465</xdr:colOff>
      <xdr:row>1</xdr:row>
      <xdr:rowOff>12369</xdr:rowOff>
    </xdr:from>
    <xdr:to>
      <xdr:col>19</xdr:col>
      <xdr:colOff>148441</xdr:colOff>
      <xdr:row>2</xdr:row>
      <xdr:rowOff>23872</xdr:rowOff>
    </xdr:to>
    <xdr:sp macro="" textlink="">
      <xdr:nvSpPr>
        <xdr:cNvPr id="22" name="TextBox 21"/>
        <xdr:cNvSpPr txBox="1"/>
      </xdr:nvSpPr>
      <xdr:spPr>
        <a:xfrm>
          <a:off x="6644615" y="202869"/>
          <a:ext cx="3028826" cy="202003"/>
        </a:xfrm>
        <a:prstGeom prst="rect">
          <a:avLst/>
        </a:prstGeom>
        <a:solidFill>
          <a:schemeClr val="bg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800" b="1"/>
            <a:t>Dashboard For</a:t>
          </a:r>
          <a:r>
            <a:rPr lang="en-US" sz="1800" b="1" baseline="0"/>
            <a:t> The Month Of    </a:t>
          </a:r>
          <a:endParaRPr lang="en-US" sz="1800" b="1"/>
        </a:p>
      </xdr:txBody>
    </xdr:sp>
    <xdr:clientData/>
  </xdr:twoCellAnchor>
  <xdr:twoCellAnchor editAs="oneCell">
    <xdr:from>
      <xdr:col>9</xdr:col>
      <xdr:colOff>107128</xdr:colOff>
      <xdr:row>0</xdr:row>
      <xdr:rowOff>133530</xdr:rowOff>
    </xdr:from>
    <xdr:to>
      <xdr:col>10</xdr:col>
      <xdr:colOff>79043</xdr:colOff>
      <xdr:row>2</xdr:row>
      <xdr:rowOff>114536</xdr:rowOff>
    </xdr:to>
    <xdr:pic>
      <xdr:nvPicPr>
        <xdr:cNvPr id="23" name="Picture 22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 rot="5158119">
          <a:off x="6270020" y="152363"/>
          <a:ext cx="362006" cy="324340"/>
        </a:xfrm>
        <a:prstGeom prst="rect">
          <a:avLst/>
        </a:prstGeom>
      </xdr:spPr>
    </xdr:pic>
    <xdr:clientData/>
  </xdr:twoCellAnchor>
  <xdr:twoCellAnchor>
    <xdr:from>
      <xdr:col>19</xdr:col>
      <xdr:colOff>79966</xdr:colOff>
      <xdr:row>0</xdr:row>
      <xdr:rowOff>135797</xdr:rowOff>
    </xdr:from>
    <xdr:to>
      <xdr:col>24</xdr:col>
      <xdr:colOff>79965</xdr:colOff>
      <xdr:row>2</xdr:row>
      <xdr:rowOff>88173</xdr:rowOff>
    </xdr:to>
    <xdr:sp macro="" textlink="$O$4">
      <xdr:nvSpPr>
        <xdr:cNvPr id="24" name="TextBox 23"/>
        <xdr:cNvSpPr txBox="1"/>
      </xdr:nvSpPr>
      <xdr:spPr>
        <a:xfrm>
          <a:off x="9595044" y="135797"/>
          <a:ext cx="1607343" cy="329407"/>
        </a:xfrm>
        <a:prstGeom prst="rect">
          <a:avLst/>
        </a:prstGeom>
        <a:solidFill>
          <a:srgbClr val="FF99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34BAD96D-33B3-407C-843D-30EA8E6C9ECE}" type="TxLink">
            <a:rPr lang="en-US" sz="2400" b="1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March</a:t>
          </a:fld>
          <a:endParaRPr lang="en-US" sz="2400" b="1"/>
        </a:p>
      </xdr:txBody>
    </xdr:sp>
    <xdr:clientData/>
  </xdr:twoCellAnchor>
  <xdr:twoCellAnchor>
    <xdr:from>
      <xdr:col>29</xdr:col>
      <xdr:colOff>52336</xdr:colOff>
      <xdr:row>0</xdr:row>
      <xdr:rowOff>167472</xdr:rowOff>
    </xdr:from>
    <xdr:to>
      <xdr:col>30</xdr:col>
      <xdr:colOff>73270</xdr:colOff>
      <xdr:row>2</xdr:row>
      <xdr:rowOff>52335</xdr:rowOff>
    </xdr:to>
    <xdr:sp macro="" textlink="">
      <xdr:nvSpPr>
        <xdr:cNvPr id="25" name="TextBox 24"/>
        <xdr:cNvSpPr txBox="1"/>
      </xdr:nvSpPr>
      <xdr:spPr>
        <a:xfrm>
          <a:off x="12749161" y="167472"/>
          <a:ext cx="306684" cy="26586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29</xdr:col>
      <xdr:colOff>167471</xdr:colOff>
      <xdr:row>1</xdr:row>
      <xdr:rowOff>62802</xdr:rowOff>
    </xdr:from>
    <xdr:to>
      <xdr:col>30</xdr:col>
      <xdr:colOff>20933</xdr:colOff>
      <xdr:row>1</xdr:row>
      <xdr:rowOff>167472</xdr:rowOff>
    </xdr:to>
    <xdr:sp macro="" textlink="">
      <xdr:nvSpPr>
        <xdr:cNvPr id="26" name="Flowchart: Connector 25"/>
        <xdr:cNvSpPr/>
      </xdr:nvSpPr>
      <xdr:spPr>
        <a:xfrm>
          <a:off x="12864296" y="253302"/>
          <a:ext cx="139212" cy="104670"/>
        </a:xfrm>
        <a:prstGeom prst="flowChartConnector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noFill/>
          </a:endParaRPr>
        </a:p>
      </xdr:txBody>
    </xdr:sp>
    <xdr:clientData/>
  </xdr:twoCellAnchor>
  <xdr:twoCellAnchor>
    <xdr:from>
      <xdr:col>33</xdr:col>
      <xdr:colOff>136071</xdr:colOff>
      <xdr:row>0</xdr:row>
      <xdr:rowOff>167473</xdr:rowOff>
    </xdr:from>
    <xdr:to>
      <xdr:col>34</xdr:col>
      <xdr:colOff>52334</xdr:colOff>
      <xdr:row>2</xdr:row>
      <xdr:rowOff>73270</xdr:rowOff>
    </xdr:to>
    <xdr:sp macro="" textlink="">
      <xdr:nvSpPr>
        <xdr:cNvPr id="27" name="TextBox 26"/>
        <xdr:cNvSpPr txBox="1"/>
      </xdr:nvSpPr>
      <xdr:spPr>
        <a:xfrm>
          <a:off x="14080671" y="167473"/>
          <a:ext cx="202013" cy="28679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33</xdr:col>
      <xdr:colOff>141933</xdr:colOff>
      <xdr:row>1</xdr:row>
      <xdr:rowOff>79131</xdr:rowOff>
    </xdr:from>
    <xdr:to>
      <xdr:col>33</xdr:col>
      <xdr:colOff>278005</xdr:colOff>
      <xdr:row>1</xdr:row>
      <xdr:rowOff>183801</xdr:rowOff>
    </xdr:to>
    <xdr:sp macro="" textlink="">
      <xdr:nvSpPr>
        <xdr:cNvPr id="28" name="Flowchart: Connector 27"/>
        <xdr:cNvSpPr/>
      </xdr:nvSpPr>
      <xdr:spPr>
        <a:xfrm>
          <a:off x="14086533" y="269631"/>
          <a:ext cx="136072" cy="104670"/>
        </a:xfrm>
        <a:prstGeom prst="flowChartConnector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noFill/>
          </a:endParaRPr>
        </a:p>
      </xdr:txBody>
    </xdr:sp>
    <xdr:clientData/>
  </xdr:twoCellAnchor>
  <xdr:twoCellAnchor>
    <xdr:from>
      <xdr:col>37</xdr:col>
      <xdr:colOff>83734</xdr:colOff>
      <xdr:row>0</xdr:row>
      <xdr:rowOff>147795</xdr:rowOff>
    </xdr:from>
    <xdr:to>
      <xdr:col>37</xdr:col>
      <xdr:colOff>272141</xdr:colOff>
      <xdr:row>2</xdr:row>
      <xdr:rowOff>41869</xdr:rowOff>
    </xdr:to>
    <xdr:sp macro="" textlink="">
      <xdr:nvSpPr>
        <xdr:cNvPr id="29" name="TextBox 28"/>
        <xdr:cNvSpPr txBox="1"/>
      </xdr:nvSpPr>
      <xdr:spPr>
        <a:xfrm>
          <a:off x="15228484" y="147795"/>
          <a:ext cx="188407" cy="27507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37</xdr:col>
      <xdr:colOff>116393</xdr:colOff>
      <xdr:row>1</xdr:row>
      <xdr:rowOff>84993</xdr:rowOff>
    </xdr:from>
    <xdr:to>
      <xdr:col>37</xdr:col>
      <xdr:colOff>252465</xdr:colOff>
      <xdr:row>2</xdr:row>
      <xdr:rowOff>1257</xdr:rowOff>
    </xdr:to>
    <xdr:sp macro="" textlink="">
      <xdr:nvSpPr>
        <xdr:cNvPr id="30" name="Flowchart: Connector 29"/>
        <xdr:cNvSpPr/>
      </xdr:nvSpPr>
      <xdr:spPr>
        <a:xfrm>
          <a:off x="15261143" y="275493"/>
          <a:ext cx="136072" cy="106764"/>
        </a:xfrm>
        <a:prstGeom prst="flowChartConnector">
          <a:avLst/>
        </a:prstGeom>
        <a:solidFill>
          <a:srgbClr val="FFFF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noFill/>
          </a:endParaRPr>
        </a:p>
      </xdr:txBody>
    </xdr:sp>
    <xdr:clientData/>
  </xdr:twoCellAnchor>
  <xdr:twoCellAnchor>
    <xdr:from>
      <xdr:col>29</xdr:col>
      <xdr:colOff>272144</xdr:colOff>
      <xdr:row>0</xdr:row>
      <xdr:rowOff>125604</xdr:rowOff>
    </xdr:from>
    <xdr:to>
      <xdr:col>33</xdr:col>
      <xdr:colOff>41869</xdr:colOff>
      <xdr:row>2</xdr:row>
      <xdr:rowOff>73269</xdr:rowOff>
    </xdr:to>
    <xdr:sp macro="" textlink="">
      <xdr:nvSpPr>
        <xdr:cNvPr id="31" name="TextBox 30"/>
        <xdr:cNvSpPr txBox="1"/>
      </xdr:nvSpPr>
      <xdr:spPr>
        <a:xfrm>
          <a:off x="12968969" y="125604"/>
          <a:ext cx="1017500" cy="32866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000" b="1">
              <a:solidFill>
                <a:schemeClr val="bg1"/>
              </a:solidFill>
            </a:rPr>
            <a:t>Present</a:t>
          </a:r>
        </a:p>
      </xdr:txBody>
    </xdr:sp>
    <xdr:clientData/>
  </xdr:twoCellAnchor>
  <xdr:twoCellAnchor>
    <xdr:from>
      <xdr:col>33</xdr:col>
      <xdr:colOff>251209</xdr:colOff>
      <xdr:row>0</xdr:row>
      <xdr:rowOff>157006</xdr:rowOff>
    </xdr:from>
    <xdr:to>
      <xdr:col>36</xdr:col>
      <xdr:colOff>272142</xdr:colOff>
      <xdr:row>2</xdr:row>
      <xdr:rowOff>73272</xdr:rowOff>
    </xdr:to>
    <xdr:sp macro="" textlink="">
      <xdr:nvSpPr>
        <xdr:cNvPr id="32" name="TextBox 31"/>
        <xdr:cNvSpPr txBox="1"/>
      </xdr:nvSpPr>
      <xdr:spPr>
        <a:xfrm>
          <a:off x="14195809" y="157006"/>
          <a:ext cx="935333" cy="29726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000" b="1">
              <a:solidFill>
                <a:schemeClr val="bg1"/>
              </a:solidFill>
            </a:rPr>
            <a:t>Absent</a:t>
          </a:r>
          <a:endParaRPr lang="en-US" sz="1600" b="1">
            <a:solidFill>
              <a:schemeClr val="bg1"/>
            </a:solidFill>
          </a:endParaRPr>
        </a:p>
      </xdr:txBody>
    </xdr:sp>
    <xdr:clientData/>
  </xdr:twoCellAnchor>
  <xdr:twoCellAnchor>
    <xdr:from>
      <xdr:col>37</xdr:col>
      <xdr:colOff>198873</xdr:colOff>
      <xdr:row>0</xdr:row>
      <xdr:rowOff>146539</xdr:rowOff>
    </xdr:from>
    <xdr:to>
      <xdr:col>40</xdr:col>
      <xdr:colOff>20934</xdr:colOff>
      <xdr:row>2</xdr:row>
      <xdr:rowOff>104671</xdr:rowOff>
    </xdr:to>
    <xdr:sp macro="" textlink="">
      <xdr:nvSpPr>
        <xdr:cNvPr id="33" name="TextBox 32"/>
        <xdr:cNvSpPr txBox="1"/>
      </xdr:nvSpPr>
      <xdr:spPr>
        <a:xfrm>
          <a:off x="15343623" y="146539"/>
          <a:ext cx="803136" cy="33913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000" b="1">
              <a:solidFill>
                <a:schemeClr val="bg1"/>
              </a:solidFill>
            </a:rPr>
            <a:t>Leave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</xdr:rowOff>
    </xdr:from>
    <xdr:to>
      <xdr:col>2</xdr:col>
      <xdr:colOff>590550</xdr:colOff>
      <xdr:row>28</xdr:row>
      <xdr:rowOff>142876</xdr:rowOff>
    </xdr:to>
    <xdr:sp macro="" textlink="">
      <xdr:nvSpPr>
        <xdr:cNvPr id="2" name="Rectangle 1"/>
        <xdr:cNvSpPr/>
      </xdr:nvSpPr>
      <xdr:spPr>
        <a:xfrm>
          <a:off x="0" y="2"/>
          <a:ext cx="1804988" cy="5572124"/>
        </a:xfrm>
        <a:prstGeom prst="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b="1"/>
        </a:p>
      </xdr:txBody>
    </xdr:sp>
    <xdr:clientData/>
  </xdr:twoCellAnchor>
  <xdr:twoCellAnchor>
    <xdr:from>
      <xdr:col>2</xdr:col>
      <xdr:colOff>492672</xdr:colOff>
      <xdr:row>0</xdr:row>
      <xdr:rowOff>10467</xdr:rowOff>
    </xdr:from>
    <xdr:to>
      <xdr:col>39</xdr:col>
      <xdr:colOff>404813</xdr:colOff>
      <xdr:row>3</xdr:row>
      <xdr:rowOff>34889</xdr:rowOff>
    </xdr:to>
    <xdr:sp macro="" textlink="">
      <xdr:nvSpPr>
        <xdr:cNvPr id="3" name="Rectangle 2"/>
        <xdr:cNvSpPr/>
      </xdr:nvSpPr>
      <xdr:spPr>
        <a:xfrm>
          <a:off x="1707110" y="10467"/>
          <a:ext cx="14425859" cy="595922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140494</xdr:colOff>
      <xdr:row>3</xdr:row>
      <xdr:rowOff>161621</xdr:rowOff>
    </xdr:from>
    <xdr:to>
      <xdr:col>3</xdr:col>
      <xdr:colOff>302419</xdr:colOff>
      <xdr:row>5</xdr:row>
      <xdr:rowOff>152097</xdr:rowOff>
    </xdr:to>
    <xdr:sp macro="" textlink="">
      <xdr:nvSpPr>
        <xdr:cNvPr id="4" name="Rounded Rectangle 3">
          <a:hlinkClick xmlns:r="http://schemas.openxmlformats.org/officeDocument/2006/relationships" r:id="rId1"/>
        </xdr:cNvPr>
        <xdr:cNvSpPr/>
      </xdr:nvSpPr>
      <xdr:spPr>
        <a:xfrm>
          <a:off x="140494" y="733121"/>
          <a:ext cx="1983581" cy="395289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0">
              <a:solidFill>
                <a:schemeClr val="bg2">
                  <a:lumMod val="90000"/>
                </a:schemeClr>
              </a:solidFill>
              <a:latin typeface="+mn-lt"/>
              <a:ea typeface="+mn-ea"/>
              <a:cs typeface="+mn-cs"/>
            </a:rPr>
            <a:t>January</a:t>
          </a:r>
        </a:p>
      </xdr:txBody>
    </xdr:sp>
    <xdr:clientData/>
  </xdr:twoCellAnchor>
  <xdr:twoCellAnchor>
    <xdr:from>
      <xdr:col>0</xdr:col>
      <xdr:colOff>150935</xdr:colOff>
      <xdr:row>16</xdr:row>
      <xdr:rowOff>48846</xdr:rowOff>
    </xdr:from>
    <xdr:to>
      <xdr:col>3</xdr:col>
      <xdr:colOff>312860</xdr:colOff>
      <xdr:row>17</xdr:row>
      <xdr:rowOff>186105</xdr:rowOff>
    </xdr:to>
    <xdr:sp macro="" textlink="">
      <xdr:nvSpPr>
        <xdr:cNvPr id="5" name="Rounded Rectangle 4">
          <a:hlinkClick xmlns:r="http://schemas.openxmlformats.org/officeDocument/2006/relationships" r:id="rId2"/>
        </xdr:cNvPr>
        <xdr:cNvSpPr/>
      </xdr:nvSpPr>
      <xdr:spPr>
        <a:xfrm>
          <a:off x="150935" y="3173046"/>
          <a:ext cx="1990725" cy="327759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0">
              <a:solidFill>
                <a:schemeClr val="bg2">
                  <a:lumMod val="90000"/>
                </a:schemeClr>
              </a:solidFill>
            </a:rPr>
            <a:t>July</a:t>
          </a:r>
        </a:p>
      </xdr:txBody>
    </xdr:sp>
    <xdr:clientData/>
  </xdr:twoCellAnchor>
  <xdr:twoCellAnchor>
    <xdr:from>
      <xdr:col>0</xdr:col>
      <xdr:colOff>146783</xdr:colOff>
      <xdr:row>18</xdr:row>
      <xdr:rowOff>58371</xdr:rowOff>
    </xdr:from>
    <xdr:to>
      <xdr:col>3</xdr:col>
      <xdr:colOff>308708</xdr:colOff>
      <xdr:row>20</xdr:row>
      <xdr:rowOff>3419</xdr:rowOff>
    </xdr:to>
    <xdr:sp macro="" textlink="">
      <xdr:nvSpPr>
        <xdr:cNvPr id="6" name="Rounded Rectangle 5">
          <a:hlinkClick xmlns:r="http://schemas.openxmlformats.org/officeDocument/2006/relationships" r:id="rId3"/>
        </xdr:cNvPr>
        <xdr:cNvSpPr/>
      </xdr:nvSpPr>
      <xdr:spPr>
        <a:xfrm>
          <a:off x="146783" y="3563571"/>
          <a:ext cx="1990725" cy="326048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0">
              <a:solidFill>
                <a:schemeClr val="bg2">
                  <a:lumMod val="90000"/>
                </a:schemeClr>
              </a:solidFill>
            </a:rPr>
            <a:t>August</a:t>
          </a:r>
        </a:p>
      </xdr:txBody>
    </xdr:sp>
    <xdr:clientData/>
  </xdr:twoCellAnchor>
  <xdr:twoCellAnchor>
    <xdr:from>
      <xdr:col>0</xdr:col>
      <xdr:colOff>161682</xdr:colOff>
      <xdr:row>7</xdr:row>
      <xdr:rowOff>182197</xdr:rowOff>
    </xdr:from>
    <xdr:to>
      <xdr:col>3</xdr:col>
      <xdr:colOff>323607</xdr:colOff>
      <xdr:row>9</xdr:row>
      <xdr:rowOff>142875</xdr:rowOff>
    </xdr:to>
    <xdr:sp macro="" textlink="">
      <xdr:nvSpPr>
        <xdr:cNvPr id="7" name="Rounded Rectangle 6">
          <a:hlinkClick xmlns:r="http://schemas.openxmlformats.org/officeDocument/2006/relationships" r:id="rId4"/>
        </xdr:cNvPr>
        <xdr:cNvSpPr/>
      </xdr:nvSpPr>
      <xdr:spPr>
        <a:xfrm>
          <a:off x="161682" y="1591897"/>
          <a:ext cx="1990725" cy="341678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0">
              <a:solidFill>
                <a:schemeClr val="bg2">
                  <a:lumMod val="90000"/>
                </a:schemeClr>
              </a:solidFill>
            </a:rPr>
            <a:t>March</a:t>
          </a:r>
        </a:p>
      </xdr:txBody>
    </xdr:sp>
    <xdr:clientData/>
  </xdr:twoCellAnchor>
  <xdr:twoCellAnchor>
    <xdr:from>
      <xdr:col>0</xdr:col>
      <xdr:colOff>480463</xdr:colOff>
      <xdr:row>9</xdr:row>
      <xdr:rowOff>191720</xdr:rowOff>
    </xdr:from>
    <xdr:to>
      <xdr:col>4</xdr:col>
      <xdr:colOff>35169</xdr:colOff>
      <xdr:row>11</xdr:row>
      <xdr:rowOff>161925</xdr:rowOff>
    </xdr:to>
    <xdr:sp macro="" textlink="">
      <xdr:nvSpPr>
        <xdr:cNvPr id="8" name="Rounded Rectangle 7">
          <a:hlinkClick xmlns:r="http://schemas.openxmlformats.org/officeDocument/2006/relationships" r:id="rId5"/>
        </xdr:cNvPr>
        <xdr:cNvSpPr/>
      </xdr:nvSpPr>
      <xdr:spPr>
        <a:xfrm>
          <a:off x="480463" y="2010995"/>
          <a:ext cx="1993106" cy="370255"/>
        </a:xfrm>
        <a:prstGeom prst="roundRect">
          <a:avLst/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 b="1">
              <a:solidFill>
                <a:schemeClr val="tx1"/>
              </a:solidFill>
              <a:latin typeface="+mn-lt"/>
              <a:ea typeface="+mn-ea"/>
              <a:cs typeface="+mn-cs"/>
            </a:rPr>
            <a:t>April</a:t>
          </a:r>
          <a:endParaRPr lang="en-US" sz="2000" b="1">
            <a:solidFill>
              <a:schemeClr val="tx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154843</xdr:colOff>
      <xdr:row>5</xdr:row>
      <xdr:rowOff>209550</xdr:rowOff>
    </xdr:from>
    <xdr:to>
      <xdr:col>3</xdr:col>
      <xdr:colOff>316768</xdr:colOff>
      <xdr:row>7</xdr:row>
      <xdr:rowOff>125048</xdr:rowOff>
    </xdr:to>
    <xdr:sp macro="" textlink="">
      <xdr:nvSpPr>
        <xdr:cNvPr id="9" name="Rounded Rectangle 8">
          <a:hlinkClick xmlns:r="http://schemas.openxmlformats.org/officeDocument/2006/relationships" r:id="rId6"/>
        </xdr:cNvPr>
        <xdr:cNvSpPr/>
      </xdr:nvSpPr>
      <xdr:spPr>
        <a:xfrm>
          <a:off x="154843" y="1181100"/>
          <a:ext cx="1990725" cy="353648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0">
              <a:solidFill>
                <a:schemeClr val="bg2">
                  <a:lumMod val="90000"/>
                </a:schemeClr>
              </a:solidFill>
            </a:rPr>
            <a:t>February</a:t>
          </a:r>
        </a:p>
      </xdr:txBody>
    </xdr:sp>
    <xdr:clientData/>
  </xdr:twoCellAnchor>
  <xdr:twoCellAnchor>
    <xdr:from>
      <xdr:col>0</xdr:col>
      <xdr:colOff>149469</xdr:colOff>
      <xdr:row>12</xdr:row>
      <xdr:rowOff>14899</xdr:rowOff>
    </xdr:from>
    <xdr:to>
      <xdr:col>3</xdr:col>
      <xdr:colOff>311394</xdr:colOff>
      <xdr:row>13</xdr:row>
      <xdr:rowOff>176824</xdr:rowOff>
    </xdr:to>
    <xdr:sp macro="" textlink="">
      <xdr:nvSpPr>
        <xdr:cNvPr id="10" name="Rounded Rectangle 9">
          <a:hlinkClick xmlns:r="http://schemas.openxmlformats.org/officeDocument/2006/relationships" r:id="rId7"/>
        </xdr:cNvPr>
        <xdr:cNvSpPr/>
      </xdr:nvSpPr>
      <xdr:spPr>
        <a:xfrm>
          <a:off x="149469" y="2377099"/>
          <a:ext cx="1990725" cy="352425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0">
              <a:solidFill>
                <a:schemeClr val="bg2">
                  <a:lumMod val="90000"/>
                </a:schemeClr>
              </a:solidFill>
            </a:rPr>
            <a:t>May</a:t>
          </a:r>
        </a:p>
      </xdr:txBody>
    </xdr:sp>
    <xdr:clientData/>
  </xdr:twoCellAnchor>
  <xdr:twoCellAnchor>
    <xdr:from>
      <xdr:col>0</xdr:col>
      <xdr:colOff>153622</xdr:colOff>
      <xdr:row>14</xdr:row>
      <xdr:rowOff>36635</xdr:rowOff>
    </xdr:from>
    <xdr:to>
      <xdr:col>3</xdr:col>
      <xdr:colOff>315547</xdr:colOff>
      <xdr:row>16</xdr:row>
      <xdr:rowOff>732</xdr:rowOff>
    </xdr:to>
    <xdr:sp macro="" textlink="">
      <xdr:nvSpPr>
        <xdr:cNvPr id="11" name="Rounded Rectangle 10">
          <a:hlinkClick xmlns:r="http://schemas.openxmlformats.org/officeDocument/2006/relationships" r:id="rId8"/>
        </xdr:cNvPr>
        <xdr:cNvSpPr/>
      </xdr:nvSpPr>
      <xdr:spPr>
        <a:xfrm>
          <a:off x="153622" y="2779835"/>
          <a:ext cx="1990725" cy="345097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0">
              <a:solidFill>
                <a:schemeClr val="bg2">
                  <a:lumMod val="90000"/>
                </a:schemeClr>
              </a:solidFill>
            </a:rPr>
            <a:t>June</a:t>
          </a:r>
        </a:p>
      </xdr:txBody>
    </xdr:sp>
    <xdr:clientData/>
  </xdr:twoCellAnchor>
  <xdr:twoCellAnchor>
    <xdr:from>
      <xdr:col>0</xdr:col>
      <xdr:colOff>144096</xdr:colOff>
      <xdr:row>20</xdr:row>
      <xdr:rowOff>59838</xdr:rowOff>
    </xdr:from>
    <xdr:to>
      <xdr:col>3</xdr:col>
      <xdr:colOff>306021</xdr:colOff>
      <xdr:row>22</xdr:row>
      <xdr:rowOff>8061</xdr:rowOff>
    </xdr:to>
    <xdr:sp macro="" textlink="">
      <xdr:nvSpPr>
        <xdr:cNvPr id="12" name="Rounded Rectangle 11">
          <a:hlinkClick xmlns:r="http://schemas.openxmlformats.org/officeDocument/2006/relationships" r:id="rId9"/>
        </xdr:cNvPr>
        <xdr:cNvSpPr/>
      </xdr:nvSpPr>
      <xdr:spPr>
        <a:xfrm>
          <a:off x="144096" y="3946038"/>
          <a:ext cx="1990725" cy="329223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0">
              <a:solidFill>
                <a:schemeClr val="bg2">
                  <a:lumMod val="90000"/>
                </a:schemeClr>
              </a:solidFill>
            </a:rPr>
            <a:t>September</a:t>
          </a:r>
        </a:p>
      </xdr:txBody>
    </xdr:sp>
    <xdr:clientData/>
  </xdr:twoCellAnchor>
  <xdr:twoCellAnchor>
    <xdr:from>
      <xdr:col>0</xdr:col>
      <xdr:colOff>145561</xdr:colOff>
      <xdr:row>22</xdr:row>
      <xdr:rowOff>54462</xdr:rowOff>
    </xdr:from>
    <xdr:to>
      <xdr:col>3</xdr:col>
      <xdr:colOff>307486</xdr:colOff>
      <xdr:row>24</xdr:row>
      <xdr:rowOff>9280</xdr:rowOff>
    </xdr:to>
    <xdr:sp macro="" textlink="">
      <xdr:nvSpPr>
        <xdr:cNvPr id="13" name="Rounded Rectangle 12">
          <a:hlinkClick xmlns:r="http://schemas.openxmlformats.org/officeDocument/2006/relationships" r:id="rId10"/>
        </xdr:cNvPr>
        <xdr:cNvSpPr/>
      </xdr:nvSpPr>
      <xdr:spPr>
        <a:xfrm>
          <a:off x="145561" y="4321662"/>
          <a:ext cx="1990725" cy="335818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0">
              <a:solidFill>
                <a:schemeClr val="bg2">
                  <a:lumMod val="90000"/>
                </a:schemeClr>
              </a:solidFill>
            </a:rPr>
            <a:t>October</a:t>
          </a:r>
        </a:p>
      </xdr:txBody>
    </xdr:sp>
    <xdr:clientData/>
  </xdr:twoCellAnchor>
  <xdr:twoCellAnchor>
    <xdr:from>
      <xdr:col>0</xdr:col>
      <xdr:colOff>160459</xdr:colOff>
      <xdr:row>24</xdr:row>
      <xdr:rowOff>64965</xdr:rowOff>
    </xdr:from>
    <xdr:to>
      <xdr:col>3</xdr:col>
      <xdr:colOff>322384</xdr:colOff>
      <xdr:row>26</xdr:row>
      <xdr:rowOff>25645</xdr:rowOff>
    </xdr:to>
    <xdr:sp macro="" textlink="">
      <xdr:nvSpPr>
        <xdr:cNvPr id="14" name="Rounded Rectangle 13">
          <a:hlinkClick xmlns:r="http://schemas.openxmlformats.org/officeDocument/2006/relationships" r:id="rId11"/>
        </xdr:cNvPr>
        <xdr:cNvSpPr/>
      </xdr:nvSpPr>
      <xdr:spPr>
        <a:xfrm>
          <a:off x="160459" y="4713165"/>
          <a:ext cx="1990725" cy="351205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0">
              <a:solidFill>
                <a:schemeClr val="bg2">
                  <a:lumMod val="90000"/>
                </a:schemeClr>
              </a:solidFill>
            </a:rPr>
            <a:t>November</a:t>
          </a:r>
        </a:p>
      </xdr:txBody>
    </xdr:sp>
    <xdr:clientData/>
  </xdr:twoCellAnchor>
  <xdr:twoCellAnchor>
    <xdr:from>
      <xdr:col>0</xdr:col>
      <xdr:colOff>155086</xdr:colOff>
      <xdr:row>26</xdr:row>
      <xdr:rowOff>70583</xdr:rowOff>
    </xdr:from>
    <xdr:to>
      <xdr:col>3</xdr:col>
      <xdr:colOff>317011</xdr:colOff>
      <xdr:row>28</xdr:row>
      <xdr:rowOff>57150</xdr:rowOff>
    </xdr:to>
    <xdr:sp macro="" textlink="">
      <xdr:nvSpPr>
        <xdr:cNvPr id="15" name="Rounded Rectangle 14">
          <a:hlinkClick xmlns:r="http://schemas.openxmlformats.org/officeDocument/2006/relationships" r:id="rId12"/>
        </xdr:cNvPr>
        <xdr:cNvSpPr/>
      </xdr:nvSpPr>
      <xdr:spPr>
        <a:xfrm>
          <a:off x="155086" y="5109308"/>
          <a:ext cx="1990725" cy="367567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0">
              <a:solidFill>
                <a:schemeClr val="bg2">
                  <a:lumMod val="90000"/>
                </a:schemeClr>
              </a:solidFill>
            </a:rPr>
            <a:t>December</a:t>
          </a:r>
        </a:p>
      </xdr:txBody>
    </xdr:sp>
    <xdr:clientData/>
  </xdr:twoCellAnchor>
  <xdr:twoCellAnchor>
    <xdr:from>
      <xdr:col>40</xdr:col>
      <xdr:colOff>24741</xdr:colOff>
      <xdr:row>0</xdr:row>
      <xdr:rowOff>12370</xdr:rowOff>
    </xdr:from>
    <xdr:to>
      <xdr:col>56</xdr:col>
      <xdr:colOff>148442</xdr:colOff>
      <xdr:row>3</xdr:row>
      <xdr:rowOff>0</xdr:rowOff>
    </xdr:to>
    <xdr:sp macro="" textlink="">
      <xdr:nvSpPr>
        <xdr:cNvPr id="16" name="Rectangle 15"/>
        <xdr:cNvSpPr/>
      </xdr:nvSpPr>
      <xdr:spPr>
        <a:xfrm>
          <a:off x="16760166" y="12370"/>
          <a:ext cx="13372976" cy="559130"/>
        </a:xfrm>
        <a:prstGeom prst="rect">
          <a:avLst/>
        </a:prstGeom>
        <a:solidFill>
          <a:srgbClr val="FF9900"/>
        </a:solidFill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3200" b="1">
              <a:solidFill>
                <a:schemeClr val="tx1"/>
              </a:solidFill>
            </a:rPr>
            <a:t>MONTHLY </a:t>
          </a:r>
          <a:r>
            <a:rPr lang="en-US" sz="3600" b="1">
              <a:solidFill>
                <a:schemeClr val="tx1"/>
              </a:solidFill>
            </a:rPr>
            <a:t>REPORT</a:t>
          </a:r>
        </a:p>
      </xdr:txBody>
    </xdr:sp>
    <xdr:clientData/>
  </xdr:twoCellAnchor>
  <xdr:twoCellAnchor>
    <xdr:from>
      <xdr:col>7</xdr:col>
      <xdr:colOff>371468</xdr:colOff>
      <xdr:row>0</xdr:row>
      <xdr:rowOff>142874</xdr:rowOff>
    </xdr:from>
    <xdr:to>
      <xdr:col>8</xdr:col>
      <xdr:colOff>293804</xdr:colOff>
      <xdr:row>2</xdr:row>
      <xdr:rowOff>87187</xdr:rowOff>
    </xdr:to>
    <xdr:sp macro="" textlink="$K$4">
      <xdr:nvSpPr>
        <xdr:cNvPr id="17" name="TextBox 16"/>
        <xdr:cNvSpPr txBox="1"/>
      </xdr:nvSpPr>
      <xdr:spPr>
        <a:xfrm>
          <a:off x="4810118" y="142874"/>
          <a:ext cx="1055811" cy="3253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FDEDC129-0A7F-4630-BA04-D6C866EC8672}" type="TxLink">
            <a:rPr lang="en-US" sz="1600" b="1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30-Apr-25</a:t>
          </a:fld>
          <a:endParaRPr lang="en-US" sz="1600" b="1"/>
        </a:p>
      </xdr:txBody>
    </xdr:sp>
    <xdr:clientData/>
  </xdr:twoCellAnchor>
  <xdr:twoCellAnchor>
    <xdr:from>
      <xdr:col>2</xdr:col>
      <xdr:colOff>600209</xdr:colOff>
      <xdr:row>0</xdr:row>
      <xdr:rowOff>142385</xdr:rowOff>
    </xdr:from>
    <xdr:to>
      <xdr:col>4</xdr:col>
      <xdr:colOff>457200</xdr:colOff>
      <xdr:row>2</xdr:row>
      <xdr:rowOff>81328</xdr:rowOff>
    </xdr:to>
    <xdr:sp macro="" textlink="">
      <xdr:nvSpPr>
        <xdr:cNvPr id="18" name="TextBox 17"/>
        <xdr:cNvSpPr txBox="1"/>
      </xdr:nvSpPr>
      <xdr:spPr>
        <a:xfrm>
          <a:off x="1819409" y="142385"/>
          <a:ext cx="1076191" cy="319943"/>
        </a:xfrm>
        <a:prstGeom prst="rect">
          <a:avLst/>
        </a:prstGeom>
        <a:solidFill>
          <a:srgbClr val="FF99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000" b="1"/>
            <a:t>From</a:t>
          </a:r>
          <a:endParaRPr lang="en-US" sz="1100" b="1"/>
        </a:p>
      </xdr:txBody>
    </xdr:sp>
    <xdr:clientData/>
  </xdr:twoCellAnchor>
  <xdr:twoCellAnchor>
    <xdr:from>
      <xdr:col>4</xdr:col>
      <xdr:colOff>465257</xdr:colOff>
      <xdr:row>0</xdr:row>
      <xdr:rowOff>142385</xdr:rowOff>
    </xdr:from>
    <xdr:to>
      <xdr:col>6</xdr:col>
      <xdr:colOff>369029</xdr:colOff>
      <xdr:row>2</xdr:row>
      <xdr:rowOff>81326</xdr:rowOff>
    </xdr:to>
    <xdr:sp macro="" textlink="$H$4">
      <xdr:nvSpPr>
        <xdr:cNvPr id="19" name="TextBox 18"/>
        <xdr:cNvSpPr txBox="1"/>
      </xdr:nvSpPr>
      <xdr:spPr>
        <a:xfrm>
          <a:off x="2903657" y="142385"/>
          <a:ext cx="1122972" cy="31994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3786EEC2-464A-469E-BA84-9467F94783BA}" type="TxLink">
            <a:rPr lang="en-US" sz="1600" b="1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01-Apr-25</a:t>
          </a:fld>
          <a:endParaRPr lang="en-US" sz="2000" b="1"/>
        </a:p>
      </xdr:txBody>
    </xdr:sp>
    <xdr:clientData/>
  </xdr:twoCellAnchor>
  <xdr:twoCellAnchor>
    <xdr:from>
      <xdr:col>6</xdr:col>
      <xdr:colOff>516607</xdr:colOff>
      <xdr:row>0</xdr:row>
      <xdr:rowOff>142875</xdr:rowOff>
    </xdr:from>
    <xdr:to>
      <xdr:col>7</xdr:col>
      <xdr:colOff>368120</xdr:colOff>
      <xdr:row>2</xdr:row>
      <xdr:rowOff>81818</xdr:rowOff>
    </xdr:to>
    <xdr:sp macro="" textlink="">
      <xdr:nvSpPr>
        <xdr:cNvPr id="20" name="TextBox 19"/>
        <xdr:cNvSpPr txBox="1"/>
      </xdr:nvSpPr>
      <xdr:spPr>
        <a:xfrm>
          <a:off x="4174207" y="142875"/>
          <a:ext cx="632563" cy="319943"/>
        </a:xfrm>
        <a:prstGeom prst="rect">
          <a:avLst/>
        </a:prstGeom>
        <a:solidFill>
          <a:srgbClr val="FF99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000" b="1"/>
            <a:t>To</a:t>
          </a:r>
        </a:p>
      </xdr:txBody>
    </xdr:sp>
    <xdr:clientData/>
  </xdr:twoCellAnchor>
  <xdr:twoCellAnchor>
    <xdr:from>
      <xdr:col>9</xdr:col>
      <xdr:colOff>104774</xdr:colOff>
      <xdr:row>0</xdr:row>
      <xdr:rowOff>95251</xdr:rowOff>
    </xdr:from>
    <xdr:to>
      <xdr:col>28</xdr:col>
      <xdr:colOff>285749</xdr:colOff>
      <xdr:row>2</xdr:row>
      <xdr:rowOff>133351</xdr:rowOff>
    </xdr:to>
    <xdr:sp macro="" textlink="">
      <xdr:nvSpPr>
        <xdr:cNvPr id="21" name="Rectangle 20"/>
        <xdr:cNvSpPr/>
      </xdr:nvSpPr>
      <xdr:spPr>
        <a:xfrm>
          <a:off x="6212680" y="95251"/>
          <a:ext cx="6384132" cy="41910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110465</xdr:colOff>
      <xdr:row>1</xdr:row>
      <xdr:rowOff>12369</xdr:rowOff>
    </xdr:from>
    <xdr:to>
      <xdr:col>19</xdr:col>
      <xdr:colOff>148441</xdr:colOff>
      <xdr:row>2</xdr:row>
      <xdr:rowOff>23872</xdr:rowOff>
    </xdr:to>
    <xdr:sp macro="" textlink="">
      <xdr:nvSpPr>
        <xdr:cNvPr id="22" name="TextBox 21"/>
        <xdr:cNvSpPr txBox="1"/>
      </xdr:nvSpPr>
      <xdr:spPr>
        <a:xfrm>
          <a:off x="6644615" y="202869"/>
          <a:ext cx="3028826" cy="202003"/>
        </a:xfrm>
        <a:prstGeom prst="rect">
          <a:avLst/>
        </a:prstGeom>
        <a:solidFill>
          <a:schemeClr val="bg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800" b="1"/>
            <a:t>Dashboard For</a:t>
          </a:r>
          <a:r>
            <a:rPr lang="en-US" sz="1800" b="1" baseline="0"/>
            <a:t> The Month Of    </a:t>
          </a:r>
          <a:endParaRPr lang="en-US" sz="1800" b="1"/>
        </a:p>
      </xdr:txBody>
    </xdr:sp>
    <xdr:clientData/>
  </xdr:twoCellAnchor>
  <xdr:twoCellAnchor editAs="oneCell">
    <xdr:from>
      <xdr:col>9</xdr:col>
      <xdr:colOff>107128</xdr:colOff>
      <xdr:row>0</xdr:row>
      <xdr:rowOff>133530</xdr:rowOff>
    </xdr:from>
    <xdr:to>
      <xdr:col>10</xdr:col>
      <xdr:colOff>79042</xdr:colOff>
      <xdr:row>2</xdr:row>
      <xdr:rowOff>114536</xdr:rowOff>
    </xdr:to>
    <xdr:pic>
      <xdr:nvPicPr>
        <xdr:cNvPr id="23" name="Picture 22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 rot="5158119">
          <a:off x="6270020" y="152363"/>
          <a:ext cx="362006" cy="324340"/>
        </a:xfrm>
        <a:prstGeom prst="rect">
          <a:avLst/>
        </a:prstGeom>
      </xdr:spPr>
    </xdr:pic>
    <xdr:clientData/>
  </xdr:twoCellAnchor>
  <xdr:twoCellAnchor>
    <xdr:from>
      <xdr:col>19</xdr:col>
      <xdr:colOff>81950</xdr:colOff>
      <xdr:row>0</xdr:row>
      <xdr:rowOff>145719</xdr:rowOff>
    </xdr:from>
    <xdr:to>
      <xdr:col>24</xdr:col>
      <xdr:colOff>81950</xdr:colOff>
      <xdr:row>2</xdr:row>
      <xdr:rowOff>98095</xdr:rowOff>
    </xdr:to>
    <xdr:sp macro="" textlink="$O$4">
      <xdr:nvSpPr>
        <xdr:cNvPr id="24" name="TextBox 23"/>
        <xdr:cNvSpPr txBox="1"/>
      </xdr:nvSpPr>
      <xdr:spPr>
        <a:xfrm>
          <a:off x="9547419" y="145719"/>
          <a:ext cx="1595437" cy="333376"/>
        </a:xfrm>
        <a:prstGeom prst="rect">
          <a:avLst/>
        </a:prstGeom>
        <a:solidFill>
          <a:srgbClr val="FF99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34BAD96D-33B3-407C-843D-30EA8E6C9ECE}" type="TxLink">
            <a:rPr lang="en-US" sz="2400" b="1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April</a:t>
          </a:fld>
          <a:endParaRPr lang="en-US" sz="2400" b="1"/>
        </a:p>
      </xdr:txBody>
    </xdr:sp>
    <xdr:clientData/>
  </xdr:twoCellAnchor>
  <xdr:twoCellAnchor>
    <xdr:from>
      <xdr:col>29</xdr:col>
      <xdr:colOff>52336</xdr:colOff>
      <xdr:row>0</xdr:row>
      <xdr:rowOff>167472</xdr:rowOff>
    </xdr:from>
    <xdr:to>
      <xdr:col>30</xdr:col>
      <xdr:colOff>73270</xdr:colOff>
      <xdr:row>2</xdr:row>
      <xdr:rowOff>52335</xdr:rowOff>
    </xdr:to>
    <xdr:sp macro="" textlink="">
      <xdr:nvSpPr>
        <xdr:cNvPr id="25" name="TextBox 24"/>
        <xdr:cNvSpPr txBox="1"/>
      </xdr:nvSpPr>
      <xdr:spPr>
        <a:xfrm>
          <a:off x="12749161" y="167472"/>
          <a:ext cx="306684" cy="26586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29</xdr:col>
      <xdr:colOff>167471</xdr:colOff>
      <xdr:row>1</xdr:row>
      <xdr:rowOff>62802</xdr:rowOff>
    </xdr:from>
    <xdr:to>
      <xdr:col>30</xdr:col>
      <xdr:colOff>20933</xdr:colOff>
      <xdr:row>1</xdr:row>
      <xdr:rowOff>167472</xdr:rowOff>
    </xdr:to>
    <xdr:sp macro="" textlink="">
      <xdr:nvSpPr>
        <xdr:cNvPr id="26" name="Flowchart: Connector 25"/>
        <xdr:cNvSpPr/>
      </xdr:nvSpPr>
      <xdr:spPr>
        <a:xfrm>
          <a:off x="12864296" y="253302"/>
          <a:ext cx="139212" cy="104670"/>
        </a:xfrm>
        <a:prstGeom prst="flowChartConnector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noFill/>
          </a:endParaRPr>
        </a:p>
      </xdr:txBody>
    </xdr:sp>
    <xdr:clientData/>
  </xdr:twoCellAnchor>
  <xdr:twoCellAnchor>
    <xdr:from>
      <xdr:col>33</xdr:col>
      <xdr:colOff>136071</xdr:colOff>
      <xdr:row>0</xdr:row>
      <xdr:rowOff>167473</xdr:rowOff>
    </xdr:from>
    <xdr:to>
      <xdr:col>34</xdr:col>
      <xdr:colOff>52334</xdr:colOff>
      <xdr:row>2</xdr:row>
      <xdr:rowOff>73270</xdr:rowOff>
    </xdr:to>
    <xdr:sp macro="" textlink="">
      <xdr:nvSpPr>
        <xdr:cNvPr id="27" name="TextBox 26"/>
        <xdr:cNvSpPr txBox="1"/>
      </xdr:nvSpPr>
      <xdr:spPr>
        <a:xfrm>
          <a:off x="14080671" y="167473"/>
          <a:ext cx="202013" cy="28679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33</xdr:col>
      <xdr:colOff>141933</xdr:colOff>
      <xdr:row>1</xdr:row>
      <xdr:rowOff>79131</xdr:rowOff>
    </xdr:from>
    <xdr:to>
      <xdr:col>33</xdr:col>
      <xdr:colOff>278005</xdr:colOff>
      <xdr:row>1</xdr:row>
      <xdr:rowOff>183801</xdr:rowOff>
    </xdr:to>
    <xdr:sp macro="" textlink="">
      <xdr:nvSpPr>
        <xdr:cNvPr id="28" name="Flowchart: Connector 27"/>
        <xdr:cNvSpPr/>
      </xdr:nvSpPr>
      <xdr:spPr>
        <a:xfrm>
          <a:off x="14086533" y="269631"/>
          <a:ext cx="136072" cy="104670"/>
        </a:xfrm>
        <a:prstGeom prst="flowChartConnector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noFill/>
          </a:endParaRPr>
        </a:p>
      </xdr:txBody>
    </xdr:sp>
    <xdr:clientData/>
  </xdr:twoCellAnchor>
  <xdr:twoCellAnchor>
    <xdr:from>
      <xdr:col>37</xdr:col>
      <xdr:colOff>83734</xdr:colOff>
      <xdr:row>0</xdr:row>
      <xdr:rowOff>147795</xdr:rowOff>
    </xdr:from>
    <xdr:to>
      <xdr:col>37</xdr:col>
      <xdr:colOff>272141</xdr:colOff>
      <xdr:row>2</xdr:row>
      <xdr:rowOff>41869</xdr:rowOff>
    </xdr:to>
    <xdr:sp macro="" textlink="">
      <xdr:nvSpPr>
        <xdr:cNvPr id="29" name="TextBox 28"/>
        <xdr:cNvSpPr txBox="1"/>
      </xdr:nvSpPr>
      <xdr:spPr>
        <a:xfrm>
          <a:off x="15228484" y="147795"/>
          <a:ext cx="188407" cy="27507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37</xdr:col>
      <xdr:colOff>44956</xdr:colOff>
      <xdr:row>1</xdr:row>
      <xdr:rowOff>84993</xdr:rowOff>
    </xdr:from>
    <xdr:to>
      <xdr:col>37</xdr:col>
      <xdr:colOff>181028</xdr:colOff>
      <xdr:row>2</xdr:row>
      <xdr:rowOff>1257</xdr:rowOff>
    </xdr:to>
    <xdr:sp macro="" textlink="">
      <xdr:nvSpPr>
        <xdr:cNvPr id="30" name="Flowchart: Connector 29"/>
        <xdr:cNvSpPr/>
      </xdr:nvSpPr>
      <xdr:spPr>
        <a:xfrm>
          <a:off x="15142081" y="275493"/>
          <a:ext cx="136072" cy="106764"/>
        </a:xfrm>
        <a:prstGeom prst="flowChartConnector">
          <a:avLst/>
        </a:prstGeom>
        <a:solidFill>
          <a:srgbClr val="FFFF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noFill/>
          </a:endParaRPr>
        </a:p>
      </xdr:txBody>
    </xdr:sp>
    <xdr:clientData/>
  </xdr:twoCellAnchor>
  <xdr:twoCellAnchor>
    <xdr:from>
      <xdr:col>29</xdr:col>
      <xdr:colOff>272144</xdr:colOff>
      <xdr:row>0</xdr:row>
      <xdr:rowOff>125604</xdr:rowOff>
    </xdr:from>
    <xdr:to>
      <xdr:col>33</xdr:col>
      <xdr:colOff>41869</xdr:colOff>
      <xdr:row>2</xdr:row>
      <xdr:rowOff>73269</xdr:rowOff>
    </xdr:to>
    <xdr:sp macro="" textlink="">
      <xdr:nvSpPr>
        <xdr:cNvPr id="31" name="TextBox 30"/>
        <xdr:cNvSpPr txBox="1"/>
      </xdr:nvSpPr>
      <xdr:spPr>
        <a:xfrm>
          <a:off x="12968969" y="125604"/>
          <a:ext cx="1017500" cy="32866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000" b="1">
              <a:solidFill>
                <a:schemeClr val="bg1"/>
              </a:solidFill>
            </a:rPr>
            <a:t>Present</a:t>
          </a:r>
        </a:p>
      </xdr:txBody>
    </xdr:sp>
    <xdr:clientData/>
  </xdr:twoCellAnchor>
  <xdr:twoCellAnchor>
    <xdr:from>
      <xdr:col>33</xdr:col>
      <xdr:colOff>251209</xdr:colOff>
      <xdr:row>0</xdr:row>
      <xdr:rowOff>157006</xdr:rowOff>
    </xdr:from>
    <xdr:to>
      <xdr:col>36</xdr:col>
      <xdr:colOff>272142</xdr:colOff>
      <xdr:row>2</xdr:row>
      <xdr:rowOff>73272</xdr:rowOff>
    </xdr:to>
    <xdr:sp macro="" textlink="">
      <xdr:nvSpPr>
        <xdr:cNvPr id="32" name="TextBox 31"/>
        <xdr:cNvSpPr txBox="1"/>
      </xdr:nvSpPr>
      <xdr:spPr>
        <a:xfrm>
          <a:off x="14195809" y="157006"/>
          <a:ext cx="935333" cy="29726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000" b="1">
              <a:solidFill>
                <a:schemeClr val="bg1"/>
              </a:solidFill>
            </a:rPr>
            <a:t>Absent</a:t>
          </a:r>
          <a:endParaRPr lang="en-US" sz="1600" b="1">
            <a:solidFill>
              <a:schemeClr val="bg1"/>
            </a:solidFill>
          </a:endParaRPr>
        </a:p>
      </xdr:txBody>
    </xdr:sp>
    <xdr:clientData/>
  </xdr:twoCellAnchor>
  <xdr:twoCellAnchor>
    <xdr:from>
      <xdr:col>37</xdr:col>
      <xdr:colOff>107156</xdr:colOff>
      <xdr:row>0</xdr:row>
      <xdr:rowOff>146539</xdr:rowOff>
    </xdr:from>
    <xdr:to>
      <xdr:col>39</xdr:col>
      <xdr:colOff>297656</xdr:colOff>
      <xdr:row>2</xdr:row>
      <xdr:rowOff>104671</xdr:rowOff>
    </xdr:to>
    <xdr:sp macro="" textlink="">
      <xdr:nvSpPr>
        <xdr:cNvPr id="33" name="TextBox 32"/>
        <xdr:cNvSpPr txBox="1"/>
      </xdr:nvSpPr>
      <xdr:spPr>
        <a:xfrm>
          <a:off x="15204281" y="146539"/>
          <a:ext cx="821531" cy="33913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000" b="1">
              <a:solidFill>
                <a:schemeClr val="bg1"/>
              </a:solidFill>
            </a:rPr>
            <a:t>Leave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</xdr:rowOff>
    </xdr:from>
    <xdr:to>
      <xdr:col>2</xdr:col>
      <xdr:colOff>590550</xdr:colOff>
      <xdr:row>28</xdr:row>
      <xdr:rowOff>160812</xdr:rowOff>
    </xdr:to>
    <xdr:sp macro="" textlink="">
      <xdr:nvSpPr>
        <xdr:cNvPr id="2" name="Rectangle 1"/>
        <xdr:cNvSpPr/>
      </xdr:nvSpPr>
      <xdr:spPr>
        <a:xfrm>
          <a:off x="0" y="2"/>
          <a:ext cx="1802823" cy="5455226"/>
        </a:xfrm>
        <a:prstGeom prst="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b="1"/>
        </a:p>
      </xdr:txBody>
    </xdr:sp>
    <xdr:clientData/>
  </xdr:twoCellAnchor>
  <xdr:twoCellAnchor>
    <xdr:from>
      <xdr:col>2</xdr:col>
      <xdr:colOff>492672</xdr:colOff>
      <xdr:row>0</xdr:row>
      <xdr:rowOff>10467</xdr:rowOff>
    </xdr:from>
    <xdr:to>
      <xdr:col>40</xdr:col>
      <xdr:colOff>296883</xdr:colOff>
      <xdr:row>3</xdr:row>
      <xdr:rowOff>34889</xdr:rowOff>
    </xdr:to>
    <xdr:sp macro="" textlink="">
      <xdr:nvSpPr>
        <xdr:cNvPr id="3" name="Rectangle 2"/>
        <xdr:cNvSpPr/>
      </xdr:nvSpPr>
      <xdr:spPr>
        <a:xfrm>
          <a:off x="1711872" y="10467"/>
          <a:ext cx="14710836" cy="595922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145596</xdr:colOff>
      <xdr:row>3</xdr:row>
      <xdr:rowOff>149714</xdr:rowOff>
    </xdr:from>
    <xdr:to>
      <xdr:col>3</xdr:col>
      <xdr:colOff>307521</xdr:colOff>
      <xdr:row>5</xdr:row>
      <xdr:rowOff>140190</xdr:rowOff>
    </xdr:to>
    <xdr:sp macro="" textlink="">
      <xdr:nvSpPr>
        <xdr:cNvPr id="4" name="Rounded Rectangle 3">
          <a:hlinkClick xmlns:r="http://schemas.openxmlformats.org/officeDocument/2006/relationships" r:id="rId1"/>
        </xdr:cNvPr>
        <xdr:cNvSpPr/>
      </xdr:nvSpPr>
      <xdr:spPr>
        <a:xfrm>
          <a:off x="145596" y="706370"/>
          <a:ext cx="1980334" cy="386320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0">
              <a:solidFill>
                <a:schemeClr val="bg2">
                  <a:lumMod val="90000"/>
                </a:schemeClr>
              </a:solidFill>
              <a:latin typeface="+mn-lt"/>
              <a:ea typeface="+mn-ea"/>
              <a:cs typeface="+mn-cs"/>
            </a:rPr>
            <a:t>January</a:t>
          </a:r>
        </a:p>
      </xdr:txBody>
    </xdr:sp>
    <xdr:clientData/>
  </xdr:twoCellAnchor>
  <xdr:twoCellAnchor>
    <xdr:from>
      <xdr:col>0</xdr:col>
      <xdr:colOff>150935</xdr:colOff>
      <xdr:row>16</xdr:row>
      <xdr:rowOff>48846</xdr:rowOff>
    </xdr:from>
    <xdr:to>
      <xdr:col>3</xdr:col>
      <xdr:colOff>312860</xdr:colOff>
      <xdr:row>17</xdr:row>
      <xdr:rowOff>186105</xdr:rowOff>
    </xdr:to>
    <xdr:sp macro="" textlink="">
      <xdr:nvSpPr>
        <xdr:cNvPr id="5" name="Rounded Rectangle 4">
          <a:hlinkClick xmlns:r="http://schemas.openxmlformats.org/officeDocument/2006/relationships" r:id="rId2"/>
        </xdr:cNvPr>
        <xdr:cNvSpPr/>
      </xdr:nvSpPr>
      <xdr:spPr>
        <a:xfrm>
          <a:off x="150935" y="3173046"/>
          <a:ext cx="1990725" cy="327759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0">
              <a:solidFill>
                <a:schemeClr val="bg2">
                  <a:lumMod val="90000"/>
                </a:schemeClr>
              </a:solidFill>
            </a:rPr>
            <a:t>July</a:t>
          </a:r>
        </a:p>
      </xdr:txBody>
    </xdr:sp>
    <xdr:clientData/>
  </xdr:twoCellAnchor>
  <xdr:twoCellAnchor>
    <xdr:from>
      <xdr:col>0</xdr:col>
      <xdr:colOff>146783</xdr:colOff>
      <xdr:row>18</xdr:row>
      <xdr:rowOff>58371</xdr:rowOff>
    </xdr:from>
    <xdr:to>
      <xdr:col>3</xdr:col>
      <xdr:colOff>308708</xdr:colOff>
      <xdr:row>20</xdr:row>
      <xdr:rowOff>3419</xdr:rowOff>
    </xdr:to>
    <xdr:sp macro="" textlink="">
      <xdr:nvSpPr>
        <xdr:cNvPr id="6" name="Rounded Rectangle 5">
          <a:hlinkClick xmlns:r="http://schemas.openxmlformats.org/officeDocument/2006/relationships" r:id="rId3"/>
        </xdr:cNvPr>
        <xdr:cNvSpPr/>
      </xdr:nvSpPr>
      <xdr:spPr>
        <a:xfrm>
          <a:off x="146783" y="3563571"/>
          <a:ext cx="1990725" cy="326048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0">
              <a:solidFill>
                <a:schemeClr val="bg2">
                  <a:lumMod val="90000"/>
                </a:schemeClr>
              </a:solidFill>
            </a:rPr>
            <a:t>August</a:t>
          </a:r>
        </a:p>
      </xdr:txBody>
    </xdr:sp>
    <xdr:clientData/>
  </xdr:twoCellAnchor>
  <xdr:twoCellAnchor>
    <xdr:from>
      <xdr:col>0</xdr:col>
      <xdr:colOff>161682</xdr:colOff>
      <xdr:row>7</xdr:row>
      <xdr:rowOff>182197</xdr:rowOff>
    </xdr:from>
    <xdr:to>
      <xdr:col>3</xdr:col>
      <xdr:colOff>323607</xdr:colOff>
      <xdr:row>9</xdr:row>
      <xdr:rowOff>142875</xdr:rowOff>
    </xdr:to>
    <xdr:sp macro="" textlink="">
      <xdr:nvSpPr>
        <xdr:cNvPr id="7" name="Rounded Rectangle 6">
          <a:hlinkClick xmlns:r="http://schemas.openxmlformats.org/officeDocument/2006/relationships" r:id="rId4"/>
        </xdr:cNvPr>
        <xdr:cNvSpPr/>
      </xdr:nvSpPr>
      <xdr:spPr>
        <a:xfrm>
          <a:off x="161682" y="1591897"/>
          <a:ext cx="1990725" cy="341678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0">
              <a:solidFill>
                <a:schemeClr val="bg2">
                  <a:lumMod val="90000"/>
                </a:schemeClr>
              </a:solidFill>
            </a:rPr>
            <a:t>March</a:t>
          </a:r>
        </a:p>
      </xdr:txBody>
    </xdr:sp>
    <xdr:clientData/>
  </xdr:twoCellAnchor>
  <xdr:twoCellAnchor>
    <xdr:from>
      <xdr:col>0</xdr:col>
      <xdr:colOff>139944</xdr:colOff>
      <xdr:row>10</xdr:row>
      <xdr:rowOff>10745</xdr:rowOff>
    </xdr:from>
    <xdr:to>
      <xdr:col>3</xdr:col>
      <xdr:colOff>301869</xdr:colOff>
      <xdr:row>11</xdr:row>
      <xdr:rowOff>148003</xdr:rowOff>
    </xdr:to>
    <xdr:sp macro="" textlink="">
      <xdr:nvSpPr>
        <xdr:cNvPr id="8" name="Rounded Rectangle 7">
          <a:hlinkClick xmlns:r="http://schemas.openxmlformats.org/officeDocument/2006/relationships" r:id="rId5"/>
        </xdr:cNvPr>
        <xdr:cNvSpPr/>
      </xdr:nvSpPr>
      <xdr:spPr>
        <a:xfrm>
          <a:off x="139944" y="1991945"/>
          <a:ext cx="1990725" cy="327758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0">
              <a:solidFill>
                <a:schemeClr val="bg2">
                  <a:lumMod val="90000"/>
                </a:schemeClr>
              </a:solidFill>
              <a:latin typeface="+mn-lt"/>
              <a:ea typeface="+mn-ea"/>
              <a:cs typeface="+mn-cs"/>
            </a:rPr>
            <a:t>April</a:t>
          </a:r>
        </a:p>
      </xdr:txBody>
    </xdr:sp>
    <xdr:clientData/>
  </xdr:twoCellAnchor>
  <xdr:twoCellAnchor>
    <xdr:from>
      <xdr:col>0</xdr:col>
      <xdr:colOff>154843</xdr:colOff>
      <xdr:row>5</xdr:row>
      <xdr:rowOff>209550</xdr:rowOff>
    </xdr:from>
    <xdr:to>
      <xdr:col>3</xdr:col>
      <xdr:colOff>316768</xdr:colOff>
      <xdr:row>7</xdr:row>
      <xdr:rowOff>125048</xdr:rowOff>
    </xdr:to>
    <xdr:sp macro="" textlink="">
      <xdr:nvSpPr>
        <xdr:cNvPr id="9" name="Rounded Rectangle 8">
          <a:hlinkClick xmlns:r="http://schemas.openxmlformats.org/officeDocument/2006/relationships" r:id="rId6"/>
        </xdr:cNvPr>
        <xdr:cNvSpPr/>
      </xdr:nvSpPr>
      <xdr:spPr>
        <a:xfrm>
          <a:off x="154843" y="1181100"/>
          <a:ext cx="1990725" cy="353648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0">
              <a:solidFill>
                <a:schemeClr val="bg2">
                  <a:lumMod val="90000"/>
                </a:schemeClr>
              </a:solidFill>
            </a:rPr>
            <a:t>February</a:t>
          </a:r>
        </a:p>
      </xdr:txBody>
    </xdr:sp>
    <xdr:clientData/>
  </xdr:twoCellAnchor>
  <xdr:twoCellAnchor>
    <xdr:from>
      <xdr:col>0</xdr:col>
      <xdr:colOff>541479</xdr:colOff>
      <xdr:row>11</xdr:row>
      <xdr:rowOff>190500</xdr:rowOff>
    </xdr:from>
    <xdr:to>
      <xdr:col>4</xdr:col>
      <xdr:colOff>97268</xdr:colOff>
      <xdr:row>13</xdr:row>
      <xdr:rowOff>186349</xdr:rowOff>
    </xdr:to>
    <xdr:sp macro="" textlink="">
      <xdr:nvSpPr>
        <xdr:cNvPr id="10" name="Rounded Rectangle 9">
          <a:hlinkClick xmlns:r="http://schemas.openxmlformats.org/officeDocument/2006/relationships" r:id="rId7"/>
        </xdr:cNvPr>
        <xdr:cNvSpPr/>
      </xdr:nvSpPr>
      <xdr:spPr>
        <a:xfrm>
          <a:off x="541479" y="2409825"/>
          <a:ext cx="1994189" cy="395899"/>
        </a:xfrm>
        <a:prstGeom prst="roundRect">
          <a:avLst/>
        </a:prstGeom>
        <a:solidFill>
          <a:schemeClr val="bg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 b="1">
              <a:solidFill>
                <a:schemeClr val="tx1"/>
              </a:solidFill>
            </a:rPr>
            <a:t>May</a:t>
          </a:r>
          <a:endParaRPr lang="en-US" sz="2000" b="1">
            <a:solidFill>
              <a:schemeClr val="tx1"/>
            </a:solidFill>
          </a:endParaRPr>
        </a:p>
      </xdr:txBody>
    </xdr:sp>
    <xdr:clientData/>
  </xdr:twoCellAnchor>
  <xdr:twoCellAnchor>
    <xdr:from>
      <xdr:col>0</xdr:col>
      <xdr:colOff>153622</xdr:colOff>
      <xdr:row>14</xdr:row>
      <xdr:rowOff>36635</xdr:rowOff>
    </xdr:from>
    <xdr:to>
      <xdr:col>3</xdr:col>
      <xdr:colOff>315547</xdr:colOff>
      <xdr:row>16</xdr:row>
      <xdr:rowOff>732</xdr:rowOff>
    </xdr:to>
    <xdr:sp macro="" textlink="">
      <xdr:nvSpPr>
        <xdr:cNvPr id="11" name="Rounded Rectangle 10">
          <a:hlinkClick xmlns:r="http://schemas.openxmlformats.org/officeDocument/2006/relationships" r:id="rId8"/>
        </xdr:cNvPr>
        <xdr:cNvSpPr/>
      </xdr:nvSpPr>
      <xdr:spPr>
        <a:xfrm>
          <a:off x="153622" y="2779835"/>
          <a:ext cx="1990725" cy="345097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0">
              <a:solidFill>
                <a:schemeClr val="bg2">
                  <a:lumMod val="90000"/>
                </a:schemeClr>
              </a:solidFill>
            </a:rPr>
            <a:t>June</a:t>
          </a:r>
        </a:p>
      </xdr:txBody>
    </xdr:sp>
    <xdr:clientData/>
  </xdr:twoCellAnchor>
  <xdr:twoCellAnchor>
    <xdr:from>
      <xdr:col>0</xdr:col>
      <xdr:colOff>144096</xdr:colOff>
      <xdr:row>20</xdr:row>
      <xdr:rowOff>59838</xdr:rowOff>
    </xdr:from>
    <xdr:to>
      <xdr:col>3</xdr:col>
      <xdr:colOff>306021</xdr:colOff>
      <xdr:row>22</xdr:row>
      <xdr:rowOff>8061</xdr:rowOff>
    </xdr:to>
    <xdr:sp macro="" textlink="">
      <xdr:nvSpPr>
        <xdr:cNvPr id="12" name="Rounded Rectangle 11">
          <a:hlinkClick xmlns:r="http://schemas.openxmlformats.org/officeDocument/2006/relationships" r:id="rId9"/>
        </xdr:cNvPr>
        <xdr:cNvSpPr/>
      </xdr:nvSpPr>
      <xdr:spPr>
        <a:xfrm>
          <a:off x="144096" y="3946038"/>
          <a:ext cx="1990725" cy="329223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0">
              <a:solidFill>
                <a:schemeClr val="bg2">
                  <a:lumMod val="90000"/>
                </a:schemeClr>
              </a:solidFill>
            </a:rPr>
            <a:t>September</a:t>
          </a:r>
        </a:p>
      </xdr:txBody>
    </xdr:sp>
    <xdr:clientData/>
  </xdr:twoCellAnchor>
  <xdr:twoCellAnchor>
    <xdr:from>
      <xdr:col>0</xdr:col>
      <xdr:colOff>145561</xdr:colOff>
      <xdr:row>22</xdr:row>
      <xdr:rowOff>54462</xdr:rowOff>
    </xdr:from>
    <xdr:to>
      <xdr:col>3</xdr:col>
      <xdr:colOff>307486</xdr:colOff>
      <xdr:row>24</xdr:row>
      <xdr:rowOff>9280</xdr:rowOff>
    </xdr:to>
    <xdr:sp macro="" textlink="">
      <xdr:nvSpPr>
        <xdr:cNvPr id="13" name="Rounded Rectangle 12">
          <a:hlinkClick xmlns:r="http://schemas.openxmlformats.org/officeDocument/2006/relationships" r:id="rId10"/>
        </xdr:cNvPr>
        <xdr:cNvSpPr/>
      </xdr:nvSpPr>
      <xdr:spPr>
        <a:xfrm>
          <a:off x="145561" y="4321662"/>
          <a:ext cx="1990725" cy="335818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0">
              <a:solidFill>
                <a:schemeClr val="bg2">
                  <a:lumMod val="90000"/>
                </a:schemeClr>
              </a:solidFill>
            </a:rPr>
            <a:t>October</a:t>
          </a:r>
        </a:p>
      </xdr:txBody>
    </xdr:sp>
    <xdr:clientData/>
  </xdr:twoCellAnchor>
  <xdr:twoCellAnchor>
    <xdr:from>
      <xdr:col>0</xdr:col>
      <xdr:colOff>160459</xdr:colOff>
      <xdr:row>24</xdr:row>
      <xdr:rowOff>64965</xdr:rowOff>
    </xdr:from>
    <xdr:to>
      <xdr:col>3</xdr:col>
      <xdr:colOff>322384</xdr:colOff>
      <xdr:row>26</xdr:row>
      <xdr:rowOff>25645</xdr:rowOff>
    </xdr:to>
    <xdr:sp macro="" textlink="">
      <xdr:nvSpPr>
        <xdr:cNvPr id="14" name="Rounded Rectangle 13">
          <a:hlinkClick xmlns:r="http://schemas.openxmlformats.org/officeDocument/2006/relationships" r:id="rId11"/>
        </xdr:cNvPr>
        <xdr:cNvSpPr/>
      </xdr:nvSpPr>
      <xdr:spPr>
        <a:xfrm>
          <a:off x="160459" y="4713165"/>
          <a:ext cx="1990725" cy="351205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0">
              <a:solidFill>
                <a:schemeClr val="bg2">
                  <a:lumMod val="90000"/>
                </a:schemeClr>
              </a:solidFill>
            </a:rPr>
            <a:t>November</a:t>
          </a:r>
        </a:p>
      </xdr:txBody>
    </xdr:sp>
    <xdr:clientData/>
  </xdr:twoCellAnchor>
  <xdr:twoCellAnchor>
    <xdr:from>
      <xdr:col>0</xdr:col>
      <xdr:colOff>155086</xdr:colOff>
      <xdr:row>26</xdr:row>
      <xdr:rowOff>70583</xdr:rowOff>
    </xdr:from>
    <xdr:to>
      <xdr:col>3</xdr:col>
      <xdr:colOff>317011</xdr:colOff>
      <xdr:row>28</xdr:row>
      <xdr:rowOff>57150</xdr:rowOff>
    </xdr:to>
    <xdr:sp macro="" textlink="">
      <xdr:nvSpPr>
        <xdr:cNvPr id="15" name="Rounded Rectangle 14">
          <a:hlinkClick xmlns:r="http://schemas.openxmlformats.org/officeDocument/2006/relationships" r:id="rId12"/>
        </xdr:cNvPr>
        <xdr:cNvSpPr/>
      </xdr:nvSpPr>
      <xdr:spPr>
        <a:xfrm>
          <a:off x="155086" y="5109308"/>
          <a:ext cx="1990725" cy="367567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0">
              <a:solidFill>
                <a:schemeClr val="bg2">
                  <a:lumMod val="90000"/>
                </a:schemeClr>
              </a:solidFill>
            </a:rPr>
            <a:t>December</a:t>
          </a:r>
        </a:p>
      </xdr:txBody>
    </xdr:sp>
    <xdr:clientData/>
  </xdr:twoCellAnchor>
  <xdr:twoCellAnchor>
    <xdr:from>
      <xdr:col>41</xdr:col>
      <xdr:colOff>24741</xdr:colOff>
      <xdr:row>0</xdr:row>
      <xdr:rowOff>12370</xdr:rowOff>
    </xdr:from>
    <xdr:to>
      <xdr:col>57</xdr:col>
      <xdr:colOff>148442</xdr:colOff>
      <xdr:row>3</xdr:row>
      <xdr:rowOff>0</xdr:rowOff>
    </xdr:to>
    <xdr:sp macro="" textlink="">
      <xdr:nvSpPr>
        <xdr:cNvPr id="16" name="Rectangle 15"/>
        <xdr:cNvSpPr/>
      </xdr:nvSpPr>
      <xdr:spPr>
        <a:xfrm>
          <a:off x="16760166" y="12370"/>
          <a:ext cx="13372976" cy="559130"/>
        </a:xfrm>
        <a:prstGeom prst="rect">
          <a:avLst/>
        </a:prstGeom>
        <a:solidFill>
          <a:srgbClr val="FF9900"/>
        </a:solidFill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3200" b="1">
              <a:solidFill>
                <a:schemeClr val="tx1"/>
              </a:solidFill>
            </a:rPr>
            <a:t>MONTHLY </a:t>
          </a:r>
          <a:r>
            <a:rPr lang="en-US" sz="3600" b="1">
              <a:solidFill>
                <a:schemeClr val="tx1"/>
              </a:solidFill>
            </a:rPr>
            <a:t>REPORT</a:t>
          </a:r>
        </a:p>
      </xdr:txBody>
    </xdr:sp>
    <xdr:clientData/>
  </xdr:twoCellAnchor>
  <xdr:twoCellAnchor>
    <xdr:from>
      <xdr:col>7</xdr:col>
      <xdr:colOff>371468</xdr:colOff>
      <xdr:row>0</xdr:row>
      <xdr:rowOff>142874</xdr:rowOff>
    </xdr:from>
    <xdr:to>
      <xdr:col>8</xdr:col>
      <xdr:colOff>293804</xdr:colOff>
      <xdr:row>2</xdr:row>
      <xdr:rowOff>87187</xdr:rowOff>
    </xdr:to>
    <xdr:sp macro="" textlink="$K$4">
      <xdr:nvSpPr>
        <xdr:cNvPr id="17" name="TextBox 16"/>
        <xdr:cNvSpPr txBox="1"/>
      </xdr:nvSpPr>
      <xdr:spPr>
        <a:xfrm>
          <a:off x="4810118" y="142874"/>
          <a:ext cx="1055811" cy="3253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FDEDC129-0A7F-4630-BA04-D6C866EC8672}" type="TxLink">
            <a:rPr lang="en-US" sz="1600" b="1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31-May-25</a:t>
          </a:fld>
          <a:endParaRPr lang="en-US" sz="1600" b="1"/>
        </a:p>
      </xdr:txBody>
    </xdr:sp>
    <xdr:clientData/>
  </xdr:twoCellAnchor>
  <xdr:twoCellAnchor>
    <xdr:from>
      <xdr:col>2</xdr:col>
      <xdr:colOff>600209</xdr:colOff>
      <xdr:row>0</xdr:row>
      <xdr:rowOff>142385</xdr:rowOff>
    </xdr:from>
    <xdr:to>
      <xdr:col>4</xdr:col>
      <xdr:colOff>457200</xdr:colOff>
      <xdr:row>2</xdr:row>
      <xdr:rowOff>81328</xdr:rowOff>
    </xdr:to>
    <xdr:sp macro="" textlink="">
      <xdr:nvSpPr>
        <xdr:cNvPr id="18" name="TextBox 17"/>
        <xdr:cNvSpPr txBox="1"/>
      </xdr:nvSpPr>
      <xdr:spPr>
        <a:xfrm>
          <a:off x="1819409" y="142385"/>
          <a:ext cx="1076191" cy="319943"/>
        </a:xfrm>
        <a:prstGeom prst="rect">
          <a:avLst/>
        </a:prstGeom>
        <a:solidFill>
          <a:srgbClr val="FF99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000" b="1"/>
            <a:t>From</a:t>
          </a:r>
          <a:endParaRPr lang="en-US" sz="1100" b="1"/>
        </a:p>
      </xdr:txBody>
    </xdr:sp>
    <xdr:clientData/>
  </xdr:twoCellAnchor>
  <xdr:twoCellAnchor>
    <xdr:from>
      <xdr:col>4</xdr:col>
      <xdr:colOff>465257</xdr:colOff>
      <xdr:row>0</xdr:row>
      <xdr:rowOff>142385</xdr:rowOff>
    </xdr:from>
    <xdr:to>
      <xdr:col>6</xdr:col>
      <xdr:colOff>369029</xdr:colOff>
      <xdr:row>2</xdr:row>
      <xdr:rowOff>81326</xdr:rowOff>
    </xdr:to>
    <xdr:sp macro="" textlink="$H$4">
      <xdr:nvSpPr>
        <xdr:cNvPr id="19" name="TextBox 18"/>
        <xdr:cNvSpPr txBox="1"/>
      </xdr:nvSpPr>
      <xdr:spPr>
        <a:xfrm>
          <a:off x="2903657" y="142385"/>
          <a:ext cx="1122972" cy="31994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3786EEC2-464A-469E-BA84-9467F94783BA}" type="TxLink">
            <a:rPr lang="en-US" sz="1600" b="1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01-May-25</a:t>
          </a:fld>
          <a:endParaRPr lang="en-US" sz="2000" b="1"/>
        </a:p>
      </xdr:txBody>
    </xdr:sp>
    <xdr:clientData/>
  </xdr:twoCellAnchor>
  <xdr:twoCellAnchor>
    <xdr:from>
      <xdr:col>6</xdr:col>
      <xdr:colOff>516607</xdr:colOff>
      <xdr:row>0</xdr:row>
      <xdr:rowOff>142875</xdr:rowOff>
    </xdr:from>
    <xdr:to>
      <xdr:col>7</xdr:col>
      <xdr:colOff>368120</xdr:colOff>
      <xdr:row>2</xdr:row>
      <xdr:rowOff>81818</xdr:rowOff>
    </xdr:to>
    <xdr:sp macro="" textlink="">
      <xdr:nvSpPr>
        <xdr:cNvPr id="20" name="TextBox 19"/>
        <xdr:cNvSpPr txBox="1"/>
      </xdr:nvSpPr>
      <xdr:spPr>
        <a:xfrm>
          <a:off x="4174207" y="142875"/>
          <a:ext cx="632563" cy="319943"/>
        </a:xfrm>
        <a:prstGeom prst="rect">
          <a:avLst/>
        </a:prstGeom>
        <a:solidFill>
          <a:srgbClr val="FF99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000" b="1"/>
            <a:t>To</a:t>
          </a:r>
        </a:p>
      </xdr:txBody>
    </xdr:sp>
    <xdr:clientData/>
  </xdr:twoCellAnchor>
  <xdr:twoCellAnchor>
    <xdr:from>
      <xdr:col>9</xdr:col>
      <xdr:colOff>104774</xdr:colOff>
      <xdr:row>0</xdr:row>
      <xdr:rowOff>95251</xdr:rowOff>
    </xdr:from>
    <xdr:to>
      <xdr:col>28</xdr:col>
      <xdr:colOff>296883</xdr:colOff>
      <xdr:row>2</xdr:row>
      <xdr:rowOff>133351</xdr:rowOff>
    </xdr:to>
    <xdr:sp macro="" textlink="">
      <xdr:nvSpPr>
        <xdr:cNvPr id="21" name="Rectangle 20"/>
        <xdr:cNvSpPr/>
      </xdr:nvSpPr>
      <xdr:spPr>
        <a:xfrm>
          <a:off x="6487761" y="95251"/>
          <a:ext cx="6364804" cy="409204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110465</xdr:colOff>
      <xdr:row>1</xdr:row>
      <xdr:rowOff>12369</xdr:rowOff>
    </xdr:from>
    <xdr:to>
      <xdr:col>19</xdr:col>
      <xdr:colOff>148441</xdr:colOff>
      <xdr:row>2</xdr:row>
      <xdr:rowOff>23872</xdr:rowOff>
    </xdr:to>
    <xdr:sp macro="" textlink="">
      <xdr:nvSpPr>
        <xdr:cNvPr id="22" name="TextBox 21"/>
        <xdr:cNvSpPr txBox="1"/>
      </xdr:nvSpPr>
      <xdr:spPr>
        <a:xfrm>
          <a:off x="6644615" y="202869"/>
          <a:ext cx="3028826" cy="202003"/>
        </a:xfrm>
        <a:prstGeom prst="rect">
          <a:avLst/>
        </a:prstGeom>
        <a:solidFill>
          <a:schemeClr val="bg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800" b="1"/>
            <a:t>Dashboard For</a:t>
          </a:r>
          <a:r>
            <a:rPr lang="en-US" sz="1800" b="1" baseline="0"/>
            <a:t> The Month Of    </a:t>
          </a:r>
          <a:endParaRPr lang="en-US" sz="1800" b="1"/>
        </a:p>
      </xdr:txBody>
    </xdr:sp>
    <xdr:clientData/>
  </xdr:twoCellAnchor>
  <xdr:twoCellAnchor editAs="oneCell">
    <xdr:from>
      <xdr:col>9</xdr:col>
      <xdr:colOff>107128</xdr:colOff>
      <xdr:row>0</xdr:row>
      <xdr:rowOff>133530</xdr:rowOff>
    </xdr:from>
    <xdr:to>
      <xdr:col>10</xdr:col>
      <xdr:colOff>79042</xdr:colOff>
      <xdr:row>2</xdr:row>
      <xdr:rowOff>114536</xdr:rowOff>
    </xdr:to>
    <xdr:pic>
      <xdr:nvPicPr>
        <xdr:cNvPr id="23" name="Picture 22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 rot="5158119">
          <a:off x="6270020" y="152363"/>
          <a:ext cx="362006" cy="324340"/>
        </a:xfrm>
        <a:prstGeom prst="rect">
          <a:avLst/>
        </a:prstGeom>
      </xdr:spPr>
    </xdr:pic>
    <xdr:clientData/>
  </xdr:twoCellAnchor>
  <xdr:twoCellAnchor>
    <xdr:from>
      <xdr:col>19</xdr:col>
      <xdr:colOff>121845</xdr:colOff>
      <xdr:row>0</xdr:row>
      <xdr:rowOff>133349</xdr:rowOff>
    </xdr:from>
    <xdr:to>
      <xdr:col>24</xdr:col>
      <xdr:colOff>121845</xdr:colOff>
      <xdr:row>2</xdr:row>
      <xdr:rowOff>85725</xdr:rowOff>
    </xdr:to>
    <xdr:sp macro="" textlink="$O$4">
      <xdr:nvSpPr>
        <xdr:cNvPr id="24" name="TextBox 23"/>
        <xdr:cNvSpPr txBox="1"/>
      </xdr:nvSpPr>
      <xdr:spPr>
        <a:xfrm>
          <a:off x="9832397" y="133349"/>
          <a:ext cx="1595747" cy="323480"/>
        </a:xfrm>
        <a:prstGeom prst="rect">
          <a:avLst/>
        </a:prstGeom>
        <a:solidFill>
          <a:srgbClr val="FF99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34BAD96D-33B3-407C-843D-30EA8E6C9ECE}" type="TxLink">
            <a:rPr lang="en-US" sz="2400" b="1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May</a:t>
          </a:fld>
          <a:endParaRPr lang="en-US" sz="2400" b="1"/>
        </a:p>
      </xdr:txBody>
    </xdr:sp>
    <xdr:clientData/>
  </xdr:twoCellAnchor>
  <xdr:twoCellAnchor>
    <xdr:from>
      <xdr:col>29</xdr:col>
      <xdr:colOff>52336</xdr:colOff>
      <xdr:row>0</xdr:row>
      <xdr:rowOff>167472</xdr:rowOff>
    </xdr:from>
    <xdr:to>
      <xdr:col>30</xdr:col>
      <xdr:colOff>73270</xdr:colOff>
      <xdr:row>2</xdr:row>
      <xdr:rowOff>52335</xdr:rowOff>
    </xdr:to>
    <xdr:sp macro="" textlink="">
      <xdr:nvSpPr>
        <xdr:cNvPr id="25" name="TextBox 24"/>
        <xdr:cNvSpPr txBox="1"/>
      </xdr:nvSpPr>
      <xdr:spPr>
        <a:xfrm>
          <a:off x="12749161" y="167472"/>
          <a:ext cx="306684" cy="26586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29</xdr:col>
      <xdr:colOff>167471</xdr:colOff>
      <xdr:row>1</xdr:row>
      <xdr:rowOff>62802</xdr:rowOff>
    </xdr:from>
    <xdr:to>
      <xdr:col>30</xdr:col>
      <xdr:colOff>20933</xdr:colOff>
      <xdr:row>1</xdr:row>
      <xdr:rowOff>167472</xdr:rowOff>
    </xdr:to>
    <xdr:sp macro="" textlink="">
      <xdr:nvSpPr>
        <xdr:cNvPr id="26" name="Flowchart: Connector 25"/>
        <xdr:cNvSpPr/>
      </xdr:nvSpPr>
      <xdr:spPr>
        <a:xfrm>
          <a:off x="12864296" y="253302"/>
          <a:ext cx="139212" cy="104670"/>
        </a:xfrm>
        <a:prstGeom prst="flowChartConnector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noFill/>
          </a:endParaRPr>
        </a:p>
      </xdr:txBody>
    </xdr:sp>
    <xdr:clientData/>
  </xdr:twoCellAnchor>
  <xdr:twoCellAnchor>
    <xdr:from>
      <xdr:col>33</xdr:col>
      <xdr:colOff>136071</xdr:colOff>
      <xdr:row>0</xdr:row>
      <xdr:rowOff>167473</xdr:rowOff>
    </xdr:from>
    <xdr:to>
      <xdr:col>34</xdr:col>
      <xdr:colOff>52334</xdr:colOff>
      <xdr:row>2</xdr:row>
      <xdr:rowOff>73270</xdr:rowOff>
    </xdr:to>
    <xdr:sp macro="" textlink="">
      <xdr:nvSpPr>
        <xdr:cNvPr id="27" name="TextBox 26"/>
        <xdr:cNvSpPr txBox="1"/>
      </xdr:nvSpPr>
      <xdr:spPr>
        <a:xfrm>
          <a:off x="14080671" y="167473"/>
          <a:ext cx="202013" cy="28679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33</xdr:col>
      <xdr:colOff>141933</xdr:colOff>
      <xdr:row>1</xdr:row>
      <xdr:rowOff>79131</xdr:rowOff>
    </xdr:from>
    <xdr:to>
      <xdr:col>33</xdr:col>
      <xdr:colOff>278005</xdr:colOff>
      <xdr:row>1</xdr:row>
      <xdr:rowOff>183801</xdr:rowOff>
    </xdr:to>
    <xdr:sp macro="" textlink="">
      <xdr:nvSpPr>
        <xdr:cNvPr id="28" name="Flowchart: Connector 27"/>
        <xdr:cNvSpPr/>
      </xdr:nvSpPr>
      <xdr:spPr>
        <a:xfrm>
          <a:off x="14086533" y="269631"/>
          <a:ext cx="136072" cy="104670"/>
        </a:xfrm>
        <a:prstGeom prst="flowChartConnector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noFill/>
          </a:endParaRPr>
        </a:p>
      </xdr:txBody>
    </xdr:sp>
    <xdr:clientData/>
  </xdr:twoCellAnchor>
  <xdr:twoCellAnchor>
    <xdr:from>
      <xdr:col>37</xdr:col>
      <xdr:colOff>83734</xdr:colOff>
      <xdr:row>0</xdr:row>
      <xdr:rowOff>147795</xdr:rowOff>
    </xdr:from>
    <xdr:to>
      <xdr:col>37</xdr:col>
      <xdr:colOff>272141</xdr:colOff>
      <xdr:row>2</xdr:row>
      <xdr:rowOff>41869</xdr:rowOff>
    </xdr:to>
    <xdr:sp macro="" textlink="">
      <xdr:nvSpPr>
        <xdr:cNvPr id="29" name="TextBox 28"/>
        <xdr:cNvSpPr txBox="1"/>
      </xdr:nvSpPr>
      <xdr:spPr>
        <a:xfrm>
          <a:off x="15228484" y="147795"/>
          <a:ext cx="188407" cy="27507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37</xdr:col>
      <xdr:colOff>116393</xdr:colOff>
      <xdr:row>1</xdr:row>
      <xdr:rowOff>84993</xdr:rowOff>
    </xdr:from>
    <xdr:to>
      <xdr:col>37</xdr:col>
      <xdr:colOff>252465</xdr:colOff>
      <xdr:row>2</xdr:row>
      <xdr:rowOff>1257</xdr:rowOff>
    </xdr:to>
    <xdr:sp macro="" textlink="">
      <xdr:nvSpPr>
        <xdr:cNvPr id="30" name="Flowchart: Connector 29"/>
        <xdr:cNvSpPr/>
      </xdr:nvSpPr>
      <xdr:spPr>
        <a:xfrm>
          <a:off x="15261143" y="275493"/>
          <a:ext cx="136072" cy="106764"/>
        </a:xfrm>
        <a:prstGeom prst="flowChartConnector">
          <a:avLst/>
        </a:prstGeom>
        <a:solidFill>
          <a:srgbClr val="FFFF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noFill/>
          </a:endParaRPr>
        </a:p>
      </xdr:txBody>
    </xdr:sp>
    <xdr:clientData/>
  </xdr:twoCellAnchor>
  <xdr:twoCellAnchor>
    <xdr:from>
      <xdr:col>29</xdr:col>
      <xdr:colOff>272144</xdr:colOff>
      <xdr:row>0</xdr:row>
      <xdr:rowOff>125604</xdr:rowOff>
    </xdr:from>
    <xdr:to>
      <xdr:col>33</xdr:col>
      <xdr:colOff>41869</xdr:colOff>
      <xdr:row>2</xdr:row>
      <xdr:rowOff>73269</xdr:rowOff>
    </xdr:to>
    <xdr:sp macro="" textlink="">
      <xdr:nvSpPr>
        <xdr:cNvPr id="31" name="TextBox 30"/>
        <xdr:cNvSpPr txBox="1"/>
      </xdr:nvSpPr>
      <xdr:spPr>
        <a:xfrm>
          <a:off x="12968969" y="125604"/>
          <a:ext cx="1017500" cy="32866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000" b="1">
              <a:solidFill>
                <a:schemeClr val="bg1"/>
              </a:solidFill>
            </a:rPr>
            <a:t>Present</a:t>
          </a:r>
        </a:p>
      </xdr:txBody>
    </xdr:sp>
    <xdr:clientData/>
  </xdr:twoCellAnchor>
  <xdr:twoCellAnchor>
    <xdr:from>
      <xdr:col>33</xdr:col>
      <xdr:colOff>251209</xdr:colOff>
      <xdr:row>0</xdr:row>
      <xdr:rowOff>157006</xdr:rowOff>
    </xdr:from>
    <xdr:to>
      <xdr:col>36</xdr:col>
      <xdr:colOff>272142</xdr:colOff>
      <xdr:row>2</xdr:row>
      <xdr:rowOff>73272</xdr:rowOff>
    </xdr:to>
    <xdr:sp macro="" textlink="">
      <xdr:nvSpPr>
        <xdr:cNvPr id="32" name="TextBox 31"/>
        <xdr:cNvSpPr txBox="1"/>
      </xdr:nvSpPr>
      <xdr:spPr>
        <a:xfrm>
          <a:off x="14195809" y="157006"/>
          <a:ext cx="935333" cy="29726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000" b="1">
              <a:solidFill>
                <a:schemeClr val="bg1"/>
              </a:solidFill>
            </a:rPr>
            <a:t>Absent</a:t>
          </a:r>
          <a:endParaRPr lang="en-US" sz="1600" b="1">
            <a:solidFill>
              <a:schemeClr val="bg1"/>
            </a:solidFill>
          </a:endParaRPr>
        </a:p>
      </xdr:txBody>
    </xdr:sp>
    <xdr:clientData/>
  </xdr:twoCellAnchor>
  <xdr:twoCellAnchor>
    <xdr:from>
      <xdr:col>37</xdr:col>
      <xdr:colOff>198873</xdr:colOff>
      <xdr:row>0</xdr:row>
      <xdr:rowOff>146539</xdr:rowOff>
    </xdr:from>
    <xdr:to>
      <xdr:col>40</xdr:col>
      <xdr:colOff>20934</xdr:colOff>
      <xdr:row>2</xdr:row>
      <xdr:rowOff>104671</xdr:rowOff>
    </xdr:to>
    <xdr:sp macro="" textlink="">
      <xdr:nvSpPr>
        <xdr:cNvPr id="33" name="TextBox 32"/>
        <xdr:cNvSpPr txBox="1"/>
      </xdr:nvSpPr>
      <xdr:spPr>
        <a:xfrm>
          <a:off x="15343623" y="146539"/>
          <a:ext cx="803136" cy="33913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000" b="1">
              <a:solidFill>
                <a:schemeClr val="bg1"/>
              </a:solidFill>
            </a:rPr>
            <a:t>Leave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</xdr:rowOff>
    </xdr:from>
    <xdr:to>
      <xdr:col>2</xdr:col>
      <xdr:colOff>590550</xdr:colOff>
      <xdr:row>28</xdr:row>
      <xdr:rowOff>158751</xdr:rowOff>
    </xdr:to>
    <xdr:sp macro="" textlink="">
      <xdr:nvSpPr>
        <xdr:cNvPr id="2" name="Rectangle 1"/>
        <xdr:cNvSpPr/>
      </xdr:nvSpPr>
      <xdr:spPr>
        <a:xfrm>
          <a:off x="0" y="2"/>
          <a:ext cx="1811704" cy="5678364"/>
        </a:xfrm>
        <a:prstGeom prst="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b="1"/>
        </a:p>
      </xdr:txBody>
    </xdr:sp>
    <xdr:clientData/>
  </xdr:twoCellAnchor>
  <xdr:twoCellAnchor>
    <xdr:from>
      <xdr:col>2</xdr:col>
      <xdr:colOff>492672</xdr:colOff>
      <xdr:row>0</xdr:row>
      <xdr:rowOff>10467</xdr:rowOff>
    </xdr:from>
    <xdr:to>
      <xdr:col>39</xdr:col>
      <xdr:colOff>296883</xdr:colOff>
      <xdr:row>3</xdr:row>
      <xdr:rowOff>34889</xdr:rowOff>
    </xdr:to>
    <xdr:sp macro="" textlink="">
      <xdr:nvSpPr>
        <xdr:cNvPr id="3" name="Rectangle 2"/>
        <xdr:cNvSpPr/>
      </xdr:nvSpPr>
      <xdr:spPr>
        <a:xfrm>
          <a:off x="1711872" y="10467"/>
          <a:ext cx="14710836" cy="595922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127250</xdr:colOff>
      <xdr:row>3</xdr:row>
      <xdr:rowOff>171119</xdr:rowOff>
    </xdr:from>
    <xdr:to>
      <xdr:col>3</xdr:col>
      <xdr:colOff>289175</xdr:colOff>
      <xdr:row>5</xdr:row>
      <xdr:rowOff>161595</xdr:rowOff>
    </xdr:to>
    <xdr:sp macro="" textlink="">
      <xdr:nvSpPr>
        <xdr:cNvPr id="4" name="Rounded Rectangle 3">
          <a:hlinkClick xmlns:r="http://schemas.openxmlformats.org/officeDocument/2006/relationships" r:id="rId1"/>
        </xdr:cNvPr>
        <xdr:cNvSpPr/>
      </xdr:nvSpPr>
      <xdr:spPr>
        <a:xfrm>
          <a:off x="127250" y="749040"/>
          <a:ext cx="1992009" cy="397162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0">
              <a:solidFill>
                <a:schemeClr val="bg2">
                  <a:lumMod val="90000"/>
                </a:schemeClr>
              </a:solidFill>
              <a:latin typeface="+mn-lt"/>
              <a:ea typeface="+mn-ea"/>
              <a:cs typeface="+mn-cs"/>
            </a:rPr>
            <a:t>January</a:t>
          </a:r>
        </a:p>
      </xdr:txBody>
    </xdr:sp>
    <xdr:clientData/>
  </xdr:twoCellAnchor>
  <xdr:twoCellAnchor>
    <xdr:from>
      <xdr:col>0</xdr:col>
      <xdr:colOff>150935</xdr:colOff>
      <xdr:row>16</xdr:row>
      <xdr:rowOff>48846</xdr:rowOff>
    </xdr:from>
    <xdr:to>
      <xdr:col>3</xdr:col>
      <xdr:colOff>312860</xdr:colOff>
      <xdr:row>17</xdr:row>
      <xdr:rowOff>186105</xdr:rowOff>
    </xdr:to>
    <xdr:sp macro="" textlink="">
      <xdr:nvSpPr>
        <xdr:cNvPr id="5" name="Rounded Rectangle 4">
          <a:hlinkClick xmlns:r="http://schemas.openxmlformats.org/officeDocument/2006/relationships" r:id="rId2"/>
        </xdr:cNvPr>
        <xdr:cNvSpPr/>
      </xdr:nvSpPr>
      <xdr:spPr>
        <a:xfrm>
          <a:off x="150935" y="3173046"/>
          <a:ext cx="1990725" cy="327759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0">
              <a:solidFill>
                <a:schemeClr val="bg2">
                  <a:lumMod val="90000"/>
                </a:schemeClr>
              </a:solidFill>
            </a:rPr>
            <a:t>July</a:t>
          </a:r>
        </a:p>
      </xdr:txBody>
    </xdr:sp>
    <xdr:clientData/>
  </xdr:twoCellAnchor>
  <xdr:twoCellAnchor>
    <xdr:from>
      <xdr:col>0</xdr:col>
      <xdr:colOff>146783</xdr:colOff>
      <xdr:row>18</xdr:row>
      <xdr:rowOff>58371</xdr:rowOff>
    </xdr:from>
    <xdr:to>
      <xdr:col>3</xdr:col>
      <xdr:colOff>308708</xdr:colOff>
      <xdr:row>20</xdr:row>
      <xdr:rowOff>3419</xdr:rowOff>
    </xdr:to>
    <xdr:sp macro="" textlink="">
      <xdr:nvSpPr>
        <xdr:cNvPr id="6" name="Rounded Rectangle 5">
          <a:hlinkClick xmlns:r="http://schemas.openxmlformats.org/officeDocument/2006/relationships" r:id="rId3"/>
        </xdr:cNvPr>
        <xdr:cNvSpPr/>
      </xdr:nvSpPr>
      <xdr:spPr>
        <a:xfrm>
          <a:off x="146783" y="3563571"/>
          <a:ext cx="1990725" cy="326048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0">
              <a:solidFill>
                <a:schemeClr val="bg2">
                  <a:lumMod val="90000"/>
                </a:schemeClr>
              </a:solidFill>
            </a:rPr>
            <a:t>August</a:t>
          </a:r>
        </a:p>
      </xdr:txBody>
    </xdr:sp>
    <xdr:clientData/>
  </xdr:twoCellAnchor>
  <xdr:twoCellAnchor>
    <xdr:from>
      <xdr:col>0</xdr:col>
      <xdr:colOff>161682</xdr:colOff>
      <xdr:row>7</xdr:row>
      <xdr:rowOff>182197</xdr:rowOff>
    </xdr:from>
    <xdr:to>
      <xdr:col>3</xdr:col>
      <xdr:colOff>323607</xdr:colOff>
      <xdr:row>9</xdr:row>
      <xdr:rowOff>142875</xdr:rowOff>
    </xdr:to>
    <xdr:sp macro="" textlink="">
      <xdr:nvSpPr>
        <xdr:cNvPr id="7" name="Rounded Rectangle 6">
          <a:hlinkClick xmlns:r="http://schemas.openxmlformats.org/officeDocument/2006/relationships" r:id="rId4"/>
        </xdr:cNvPr>
        <xdr:cNvSpPr/>
      </xdr:nvSpPr>
      <xdr:spPr>
        <a:xfrm>
          <a:off x="161682" y="1591897"/>
          <a:ext cx="1990725" cy="341678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0">
              <a:solidFill>
                <a:schemeClr val="bg2">
                  <a:lumMod val="90000"/>
                </a:schemeClr>
              </a:solidFill>
            </a:rPr>
            <a:t>March</a:t>
          </a:r>
        </a:p>
      </xdr:txBody>
    </xdr:sp>
    <xdr:clientData/>
  </xdr:twoCellAnchor>
  <xdr:twoCellAnchor>
    <xdr:from>
      <xdr:col>0</xdr:col>
      <xdr:colOff>139944</xdr:colOff>
      <xdr:row>10</xdr:row>
      <xdr:rowOff>10745</xdr:rowOff>
    </xdr:from>
    <xdr:to>
      <xdr:col>3</xdr:col>
      <xdr:colOff>301869</xdr:colOff>
      <xdr:row>11</xdr:row>
      <xdr:rowOff>148003</xdr:rowOff>
    </xdr:to>
    <xdr:sp macro="" textlink="">
      <xdr:nvSpPr>
        <xdr:cNvPr id="8" name="Rounded Rectangle 7">
          <a:hlinkClick xmlns:r="http://schemas.openxmlformats.org/officeDocument/2006/relationships" r:id="rId5"/>
        </xdr:cNvPr>
        <xdr:cNvSpPr/>
      </xdr:nvSpPr>
      <xdr:spPr>
        <a:xfrm>
          <a:off x="139944" y="1991945"/>
          <a:ext cx="1990725" cy="327758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0">
              <a:solidFill>
                <a:schemeClr val="bg2">
                  <a:lumMod val="90000"/>
                </a:schemeClr>
              </a:solidFill>
              <a:latin typeface="+mn-lt"/>
              <a:ea typeface="+mn-ea"/>
              <a:cs typeface="+mn-cs"/>
            </a:rPr>
            <a:t>April</a:t>
          </a:r>
        </a:p>
      </xdr:txBody>
    </xdr:sp>
    <xdr:clientData/>
  </xdr:twoCellAnchor>
  <xdr:twoCellAnchor>
    <xdr:from>
      <xdr:col>0</xdr:col>
      <xdr:colOff>154843</xdr:colOff>
      <xdr:row>5</xdr:row>
      <xdr:rowOff>209550</xdr:rowOff>
    </xdr:from>
    <xdr:to>
      <xdr:col>3</xdr:col>
      <xdr:colOff>316768</xdr:colOff>
      <xdr:row>7</xdr:row>
      <xdr:rowOff>125048</xdr:rowOff>
    </xdr:to>
    <xdr:sp macro="" textlink="">
      <xdr:nvSpPr>
        <xdr:cNvPr id="9" name="Rounded Rectangle 8">
          <a:hlinkClick xmlns:r="http://schemas.openxmlformats.org/officeDocument/2006/relationships" r:id="rId6"/>
        </xdr:cNvPr>
        <xdr:cNvSpPr/>
      </xdr:nvSpPr>
      <xdr:spPr>
        <a:xfrm>
          <a:off x="154843" y="1181100"/>
          <a:ext cx="1990725" cy="353648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0">
              <a:solidFill>
                <a:schemeClr val="bg2">
                  <a:lumMod val="90000"/>
                </a:schemeClr>
              </a:solidFill>
            </a:rPr>
            <a:t>February</a:t>
          </a:r>
        </a:p>
      </xdr:txBody>
    </xdr:sp>
    <xdr:clientData/>
  </xdr:twoCellAnchor>
  <xdr:twoCellAnchor>
    <xdr:from>
      <xdr:col>0</xdr:col>
      <xdr:colOff>149469</xdr:colOff>
      <xdr:row>12</xdr:row>
      <xdr:rowOff>14899</xdr:rowOff>
    </xdr:from>
    <xdr:to>
      <xdr:col>3</xdr:col>
      <xdr:colOff>311394</xdr:colOff>
      <xdr:row>13</xdr:row>
      <xdr:rowOff>176824</xdr:rowOff>
    </xdr:to>
    <xdr:sp macro="" textlink="">
      <xdr:nvSpPr>
        <xdr:cNvPr id="10" name="Rounded Rectangle 9">
          <a:hlinkClick xmlns:r="http://schemas.openxmlformats.org/officeDocument/2006/relationships" r:id="rId7"/>
        </xdr:cNvPr>
        <xdr:cNvSpPr/>
      </xdr:nvSpPr>
      <xdr:spPr>
        <a:xfrm>
          <a:off x="149469" y="2377099"/>
          <a:ext cx="1990725" cy="352425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0">
              <a:solidFill>
                <a:schemeClr val="bg2">
                  <a:lumMod val="90000"/>
                </a:schemeClr>
              </a:solidFill>
            </a:rPr>
            <a:t>May</a:t>
          </a:r>
        </a:p>
      </xdr:txBody>
    </xdr:sp>
    <xdr:clientData/>
  </xdr:twoCellAnchor>
  <xdr:twoCellAnchor>
    <xdr:from>
      <xdr:col>0</xdr:col>
      <xdr:colOff>500803</xdr:colOff>
      <xdr:row>14</xdr:row>
      <xdr:rowOff>19051</xdr:rowOff>
    </xdr:from>
    <xdr:to>
      <xdr:col>4</xdr:col>
      <xdr:colOff>52700</xdr:colOff>
      <xdr:row>16</xdr:row>
      <xdr:rowOff>733</xdr:rowOff>
    </xdr:to>
    <xdr:sp macro="" textlink="">
      <xdr:nvSpPr>
        <xdr:cNvPr id="11" name="Rounded Rectangle 10">
          <a:hlinkClick xmlns:r="http://schemas.openxmlformats.org/officeDocument/2006/relationships" r:id="rId8"/>
        </xdr:cNvPr>
        <xdr:cNvSpPr/>
      </xdr:nvSpPr>
      <xdr:spPr>
        <a:xfrm>
          <a:off x="500803" y="2838451"/>
          <a:ext cx="1990297" cy="381732"/>
        </a:xfrm>
        <a:prstGeom prst="roundRect">
          <a:avLst/>
        </a:prstGeom>
        <a:solidFill>
          <a:schemeClr val="bg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 b="1">
              <a:solidFill>
                <a:schemeClr val="tx1"/>
              </a:solidFill>
              <a:latin typeface="+mn-lt"/>
              <a:ea typeface="+mn-ea"/>
              <a:cs typeface="+mn-cs"/>
            </a:rPr>
            <a:t>June</a:t>
          </a:r>
        </a:p>
      </xdr:txBody>
    </xdr:sp>
    <xdr:clientData/>
  </xdr:twoCellAnchor>
  <xdr:twoCellAnchor>
    <xdr:from>
      <xdr:col>0</xdr:col>
      <xdr:colOff>144096</xdr:colOff>
      <xdr:row>20</xdr:row>
      <xdr:rowOff>59838</xdr:rowOff>
    </xdr:from>
    <xdr:to>
      <xdr:col>3</xdr:col>
      <xdr:colOff>306021</xdr:colOff>
      <xdr:row>22</xdr:row>
      <xdr:rowOff>8061</xdr:rowOff>
    </xdr:to>
    <xdr:sp macro="" textlink="">
      <xdr:nvSpPr>
        <xdr:cNvPr id="12" name="Rounded Rectangle 11">
          <a:hlinkClick xmlns:r="http://schemas.openxmlformats.org/officeDocument/2006/relationships" r:id="rId9"/>
        </xdr:cNvPr>
        <xdr:cNvSpPr/>
      </xdr:nvSpPr>
      <xdr:spPr>
        <a:xfrm>
          <a:off x="144096" y="3946038"/>
          <a:ext cx="1990725" cy="329223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0">
              <a:solidFill>
                <a:schemeClr val="bg2">
                  <a:lumMod val="90000"/>
                </a:schemeClr>
              </a:solidFill>
            </a:rPr>
            <a:t>September</a:t>
          </a:r>
        </a:p>
      </xdr:txBody>
    </xdr:sp>
    <xdr:clientData/>
  </xdr:twoCellAnchor>
  <xdr:twoCellAnchor>
    <xdr:from>
      <xdr:col>0</xdr:col>
      <xdr:colOff>145561</xdr:colOff>
      <xdr:row>22</xdr:row>
      <xdr:rowOff>54462</xdr:rowOff>
    </xdr:from>
    <xdr:to>
      <xdr:col>3</xdr:col>
      <xdr:colOff>307486</xdr:colOff>
      <xdr:row>24</xdr:row>
      <xdr:rowOff>9280</xdr:rowOff>
    </xdr:to>
    <xdr:sp macro="" textlink="">
      <xdr:nvSpPr>
        <xdr:cNvPr id="13" name="Rounded Rectangle 12">
          <a:hlinkClick xmlns:r="http://schemas.openxmlformats.org/officeDocument/2006/relationships" r:id="rId10"/>
        </xdr:cNvPr>
        <xdr:cNvSpPr/>
      </xdr:nvSpPr>
      <xdr:spPr>
        <a:xfrm>
          <a:off x="145561" y="4321662"/>
          <a:ext cx="1990725" cy="335818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0">
              <a:solidFill>
                <a:schemeClr val="bg2">
                  <a:lumMod val="90000"/>
                </a:schemeClr>
              </a:solidFill>
            </a:rPr>
            <a:t>October</a:t>
          </a:r>
        </a:p>
      </xdr:txBody>
    </xdr:sp>
    <xdr:clientData/>
  </xdr:twoCellAnchor>
  <xdr:twoCellAnchor>
    <xdr:from>
      <xdr:col>0</xdr:col>
      <xdr:colOff>160459</xdr:colOff>
      <xdr:row>24</xdr:row>
      <xdr:rowOff>64965</xdr:rowOff>
    </xdr:from>
    <xdr:to>
      <xdr:col>3</xdr:col>
      <xdr:colOff>322384</xdr:colOff>
      <xdr:row>26</xdr:row>
      <xdr:rowOff>25645</xdr:rowOff>
    </xdr:to>
    <xdr:sp macro="" textlink="">
      <xdr:nvSpPr>
        <xdr:cNvPr id="14" name="Rounded Rectangle 13">
          <a:hlinkClick xmlns:r="http://schemas.openxmlformats.org/officeDocument/2006/relationships" r:id="rId11"/>
        </xdr:cNvPr>
        <xdr:cNvSpPr/>
      </xdr:nvSpPr>
      <xdr:spPr>
        <a:xfrm>
          <a:off x="160459" y="4713165"/>
          <a:ext cx="1990725" cy="351205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0">
              <a:solidFill>
                <a:schemeClr val="bg2">
                  <a:lumMod val="90000"/>
                </a:schemeClr>
              </a:solidFill>
            </a:rPr>
            <a:t>November</a:t>
          </a:r>
        </a:p>
      </xdr:txBody>
    </xdr:sp>
    <xdr:clientData/>
  </xdr:twoCellAnchor>
  <xdr:twoCellAnchor>
    <xdr:from>
      <xdr:col>0</xdr:col>
      <xdr:colOff>155086</xdr:colOff>
      <xdr:row>26</xdr:row>
      <xdr:rowOff>70583</xdr:rowOff>
    </xdr:from>
    <xdr:to>
      <xdr:col>3</xdr:col>
      <xdr:colOff>317011</xdr:colOff>
      <xdr:row>28</xdr:row>
      <xdr:rowOff>57150</xdr:rowOff>
    </xdr:to>
    <xdr:sp macro="" textlink="">
      <xdr:nvSpPr>
        <xdr:cNvPr id="15" name="Rounded Rectangle 14">
          <a:hlinkClick xmlns:r="http://schemas.openxmlformats.org/officeDocument/2006/relationships" r:id="rId12"/>
        </xdr:cNvPr>
        <xdr:cNvSpPr/>
      </xdr:nvSpPr>
      <xdr:spPr>
        <a:xfrm>
          <a:off x="155086" y="5109308"/>
          <a:ext cx="1990725" cy="367567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0">
              <a:solidFill>
                <a:schemeClr val="bg2">
                  <a:lumMod val="90000"/>
                </a:schemeClr>
              </a:solidFill>
            </a:rPr>
            <a:t>December</a:t>
          </a:r>
        </a:p>
      </xdr:txBody>
    </xdr:sp>
    <xdr:clientData/>
  </xdr:twoCellAnchor>
  <xdr:twoCellAnchor>
    <xdr:from>
      <xdr:col>40</xdr:col>
      <xdr:colOff>24741</xdr:colOff>
      <xdr:row>0</xdr:row>
      <xdr:rowOff>12370</xdr:rowOff>
    </xdr:from>
    <xdr:to>
      <xdr:col>56</xdr:col>
      <xdr:colOff>148442</xdr:colOff>
      <xdr:row>3</xdr:row>
      <xdr:rowOff>0</xdr:rowOff>
    </xdr:to>
    <xdr:sp macro="" textlink="">
      <xdr:nvSpPr>
        <xdr:cNvPr id="16" name="Rectangle 15"/>
        <xdr:cNvSpPr/>
      </xdr:nvSpPr>
      <xdr:spPr>
        <a:xfrm>
          <a:off x="16760166" y="12370"/>
          <a:ext cx="13372976" cy="559130"/>
        </a:xfrm>
        <a:prstGeom prst="rect">
          <a:avLst/>
        </a:prstGeom>
        <a:solidFill>
          <a:srgbClr val="FF9900"/>
        </a:solidFill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3200" b="1">
              <a:solidFill>
                <a:schemeClr val="tx1"/>
              </a:solidFill>
            </a:rPr>
            <a:t>MONTHLY </a:t>
          </a:r>
          <a:r>
            <a:rPr lang="en-US" sz="3600" b="1">
              <a:solidFill>
                <a:schemeClr val="tx1"/>
              </a:solidFill>
            </a:rPr>
            <a:t>REPORT</a:t>
          </a:r>
        </a:p>
      </xdr:txBody>
    </xdr:sp>
    <xdr:clientData/>
  </xdr:twoCellAnchor>
  <xdr:twoCellAnchor>
    <xdr:from>
      <xdr:col>7</xdr:col>
      <xdr:colOff>371468</xdr:colOff>
      <xdr:row>0</xdr:row>
      <xdr:rowOff>142874</xdr:rowOff>
    </xdr:from>
    <xdr:to>
      <xdr:col>8</xdr:col>
      <xdr:colOff>293804</xdr:colOff>
      <xdr:row>2</xdr:row>
      <xdr:rowOff>87187</xdr:rowOff>
    </xdr:to>
    <xdr:sp macro="" textlink="$K$4">
      <xdr:nvSpPr>
        <xdr:cNvPr id="17" name="TextBox 16"/>
        <xdr:cNvSpPr txBox="1"/>
      </xdr:nvSpPr>
      <xdr:spPr>
        <a:xfrm>
          <a:off x="4810118" y="142874"/>
          <a:ext cx="1055811" cy="3253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FDEDC129-0A7F-4630-BA04-D6C866EC8672}" type="TxLink">
            <a:rPr lang="en-US" sz="1600" b="1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30-Jun-25</a:t>
          </a:fld>
          <a:endParaRPr lang="en-US" sz="1600" b="1"/>
        </a:p>
      </xdr:txBody>
    </xdr:sp>
    <xdr:clientData/>
  </xdr:twoCellAnchor>
  <xdr:twoCellAnchor>
    <xdr:from>
      <xdr:col>2</xdr:col>
      <xdr:colOff>600209</xdr:colOff>
      <xdr:row>0</xdr:row>
      <xdr:rowOff>142385</xdr:rowOff>
    </xdr:from>
    <xdr:to>
      <xdr:col>4</xdr:col>
      <xdr:colOff>457200</xdr:colOff>
      <xdr:row>2</xdr:row>
      <xdr:rowOff>81328</xdr:rowOff>
    </xdr:to>
    <xdr:sp macro="" textlink="">
      <xdr:nvSpPr>
        <xdr:cNvPr id="18" name="TextBox 17"/>
        <xdr:cNvSpPr txBox="1"/>
      </xdr:nvSpPr>
      <xdr:spPr>
        <a:xfrm>
          <a:off x="1819409" y="142385"/>
          <a:ext cx="1076191" cy="319943"/>
        </a:xfrm>
        <a:prstGeom prst="rect">
          <a:avLst/>
        </a:prstGeom>
        <a:solidFill>
          <a:srgbClr val="FF99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000" b="1"/>
            <a:t>From</a:t>
          </a:r>
          <a:endParaRPr lang="en-US" sz="1100" b="1"/>
        </a:p>
      </xdr:txBody>
    </xdr:sp>
    <xdr:clientData/>
  </xdr:twoCellAnchor>
  <xdr:twoCellAnchor>
    <xdr:from>
      <xdr:col>4</xdr:col>
      <xdr:colOff>465257</xdr:colOff>
      <xdr:row>0</xdr:row>
      <xdr:rowOff>142385</xdr:rowOff>
    </xdr:from>
    <xdr:to>
      <xdr:col>6</xdr:col>
      <xdr:colOff>369029</xdr:colOff>
      <xdr:row>2</xdr:row>
      <xdr:rowOff>81326</xdr:rowOff>
    </xdr:to>
    <xdr:sp macro="" textlink="$H$4">
      <xdr:nvSpPr>
        <xdr:cNvPr id="19" name="TextBox 18"/>
        <xdr:cNvSpPr txBox="1"/>
      </xdr:nvSpPr>
      <xdr:spPr>
        <a:xfrm>
          <a:off x="2903657" y="142385"/>
          <a:ext cx="1122972" cy="31994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3786EEC2-464A-469E-BA84-9467F94783BA}" type="TxLink">
            <a:rPr lang="en-US" sz="1600" b="1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01-Jun-25</a:t>
          </a:fld>
          <a:endParaRPr lang="en-US" sz="2000" b="1"/>
        </a:p>
      </xdr:txBody>
    </xdr:sp>
    <xdr:clientData/>
  </xdr:twoCellAnchor>
  <xdr:twoCellAnchor>
    <xdr:from>
      <xdr:col>6</xdr:col>
      <xdr:colOff>516607</xdr:colOff>
      <xdr:row>0</xdr:row>
      <xdr:rowOff>142875</xdr:rowOff>
    </xdr:from>
    <xdr:to>
      <xdr:col>7</xdr:col>
      <xdr:colOff>368120</xdr:colOff>
      <xdr:row>2</xdr:row>
      <xdr:rowOff>81818</xdr:rowOff>
    </xdr:to>
    <xdr:sp macro="" textlink="">
      <xdr:nvSpPr>
        <xdr:cNvPr id="20" name="TextBox 19"/>
        <xdr:cNvSpPr txBox="1"/>
      </xdr:nvSpPr>
      <xdr:spPr>
        <a:xfrm>
          <a:off x="4174207" y="142875"/>
          <a:ext cx="632563" cy="319943"/>
        </a:xfrm>
        <a:prstGeom prst="rect">
          <a:avLst/>
        </a:prstGeom>
        <a:solidFill>
          <a:srgbClr val="FF99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000" b="1"/>
            <a:t>To</a:t>
          </a:r>
        </a:p>
      </xdr:txBody>
    </xdr:sp>
    <xdr:clientData/>
  </xdr:twoCellAnchor>
  <xdr:twoCellAnchor>
    <xdr:from>
      <xdr:col>9</xdr:col>
      <xdr:colOff>104773</xdr:colOff>
      <xdr:row>0</xdr:row>
      <xdr:rowOff>95251</xdr:rowOff>
    </xdr:from>
    <xdr:to>
      <xdr:col>28</xdr:col>
      <xdr:colOff>278257</xdr:colOff>
      <xdr:row>2</xdr:row>
      <xdr:rowOff>133351</xdr:rowOff>
    </xdr:to>
    <xdr:sp macro="" textlink="">
      <xdr:nvSpPr>
        <xdr:cNvPr id="21" name="Rectangle 20"/>
        <xdr:cNvSpPr/>
      </xdr:nvSpPr>
      <xdr:spPr>
        <a:xfrm>
          <a:off x="6494015" y="95251"/>
          <a:ext cx="6370085" cy="423381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110465</xdr:colOff>
      <xdr:row>1</xdr:row>
      <xdr:rowOff>12369</xdr:rowOff>
    </xdr:from>
    <xdr:to>
      <xdr:col>19</xdr:col>
      <xdr:colOff>148441</xdr:colOff>
      <xdr:row>2</xdr:row>
      <xdr:rowOff>23872</xdr:rowOff>
    </xdr:to>
    <xdr:sp macro="" textlink="">
      <xdr:nvSpPr>
        <xdr:cNvPr id="22" name="TextBox 21"/>
        <xdr:cNvSpPr txBox="1"/>
      </xdr:nvSpPr>
      <xdr:spPr>
        <a:xfrm>
          <a:off x="6644615" y="202869"/>
          <a:ext cx="3028826" cy="202003"/>
        </a:xfrm>
        <a:prstGeom prst="rect">
          <a:avLst/>
        </a:prstGeom>
        <a:solidFill>
          <a:schemeClr val="bg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800" b="1"/>
            <a:t>Dashboard For</a:t>
          </a:r>
          <a:r>
            <a:rPr lang="en-US" sz="1800" b="1" baseline="0"/>
            <a:t> The Month Of    </a:t>
          </a:r>
          <a:endParaRPr lang="en-US" sz="1800" b="1"/>
        </a:p>
      </xdr:txBody>
    </xdr:sp>
    <xdr:clientData/>
  </xdr:twoCellAnchor>
  <xdr:twoCellAnchor editAs="oneCell">
    <xdr:from>
      <xdr:col>9</xdr:col>
      <xdr:colOff>107128</xdr:colOff>
      <xdr:row>0</xdr:row>
      <xdr:rowOff>133530</xdr:rowOff>
    </xdr:from>
    <xdr:to>
      <xdr:col>10</xdr:col>
      <xdr:colOff>79043</xdr:colOff>
      <xdr:row>2</xdr:row>
      <xdr:rowOff>114536</xdr:rowOff>
    </xdr:to>
    <xdr:pic>
      <xdr:nvPicPr>
        <xdr:cNvPr id="23" name="Picture 22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 rot="5158119">
          <a:off x="6270020" y="152363"/>
          <a:ext cx="362006" cy="324340"/>
        </a:xfrm>
        <a:prstGeom prst="rect">
          <a:avLst/>
        </a:prstGeom>
      </xdr:spPr>
    </xdr:pic>
    <xdr:clientData/>
  </xdr:twoCellAnchor>
  <xdr:twoCellAnchor>
    <xdr:from>
      <xdr:col>19</xdr:col>
      <xdr:colOff>42620</xdr:colOff>
      <xdr:row>0</xdr:row>
      <xdr:rowOff>135017</xdr:rowOff>
    </xdr:from>
    <xdr:to>
      <xdr:col>24</xdr:col>
      <xdr:colOff>42619</xdr:colOff>
      <xdr:row>2</xdr:row>
      <xdr:rowOff>87393</xdr:rowOff>
    </xdr:to>
    <xdr:sp macro="" textlink="$O$4">
      <xdr:nvSpPr>
        <xdr:cNvPr id="24" name="TextBox 23"/>
        <xdr:cNvSpPr txBox="1"/>
      </xdr:nvSpPr>
      <xdr:spPr>
        <a:xfrm>
          <a:off x="9781665" y="135017"/>
          <a:ext cx="1594634" cy="337657"/>
        </a:xfrm>
        <a:prstGeom prst="rect">
          <a:avLst/>
        </a:prstGeom>
        <a:solidFill>
          <a:srgbClr val="FF99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34BAD96D-33B3-407C-843D-30EA8E6C9ECE}" type="TxLink">
            <a:rPr lang="en-US" sz="2400" b="1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June</a:t>
          </a:fld>
          <a:endParaRPr lang="en-US" sz="2400" b="1"/>
        </a:p>
      </xdr:txBody>
    </xdr:sp>
    <xdr:clientData/>
  </xdr:twoCellAnchor>
  <xdr:twoCellAnchor>
    <xdr:from>
      <xdr:col>29</xdr:col>
      <xdr:colOff>52336</xdr:colOff>
      <xdr:row>0</xdr:row>
      <xdr:rowOff>167472</xdr:rowOff>
    </xdr:from>
    <xdr:to>
      <xdr:col>30</xdr:col>
      <xdr:colOff>73270</xdr:colOff>
      <xdr:row>2</xdr:row>
      <xdr:rowOff>52335</xdr:rowOff>
    </xdr:to>
    <xdr:sp macro="" textlink="">
      <xdr:nvSpPr>
        <xdr:cNvPr id="25" name="TextBox 24"/>
        <xdr:cNvSpPr txBox="1"/>
      </xdr:nvSpPr>
      <xdr:spPr>
        <a:xfrm>
          <a:off x="12749161" y="167472"/>
          <a:ext cx="306684" cy="26586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29</xdr:col>
      <xdr:colOff>167471</xdr:colOff>
      <xdr:row>1</xdr:row>
      <xdr:rowOff>62802</xdr:rowOff>
    </xdr:from>
    <xdr:to>
      <xdr:col>30</xdr:col>
      <xdr:colOff>20933</xdr:colOff>
      <xdr:row>1</xdr:row>
      <xdr:rowOff>167472</xdr:rowOff>
    </xdr:to>
    <xdr:sp macro="" textlink="">
      <xdr:nvSpPr>
        <xdr:cNvPr id="26" name="Flowchart: Connector 25"/>
        <xdr:cNvSpPr/>
      </xdr:nvSpPr>
      <xdr:spPr>
        <a:xfrm>
          <a:off x="12864296" y="253302"/>
          <a:ext cx="139212" cy="104670"/>
        </a:xfrm>
        <a:prstGeom prst="flowChartConnector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noFill/>
          </a:endParaRPr>
        </a:p>
      </xdr:txBody>
    </xdr:sp>
    <xdr:clientData/>
  </xdr:twoCellAnchor>
  <xdr:twoCellAnchor>
    <xdr:from>
      <xdr:col>33</xdr:col>
      <xdr:colOff>136071</xdr:colOff>
      <xdr:row>0</xdr:row>
      <xdr:rowOff>167473</xdr:rowOff>
    </xdr:from>
    <xdr:to>
      <xdr:col>34</xdr:col>
      <xdr:colOff>52334</xdr:colOff>
      <xdr:row>2</xdr:row>
      <xdr:rowOff>73270</xdr:rowOff>
    </xdr:to>
    <xdr:sp macro="" textlink="">
      <xdr:nvSpPr>
        <xdr:cNvPr id="27" name="TextBox 26"/>
        <xdr:cNvSpPr txBox="1"/>
      </xdr:nvSpPr>
      <xdr:spPr>
        <a:xfrm>
          <a:off x="14080671" y="167473"/>
          <a:ext cx="202013" cy="28679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33</xdr:col>
      <xdr:colOff>141933</xdr:colOff>
      <xdr:row>1</xdr:row>
      <xdr:rowOff>79131</xdr:rowOff>
    </xdr:from>
    <xdr:to>
      <xdr:col>33</xdr:col>
      <xdr:colOff>278005</xdr:colOff>
      <xdr:row>1</xdr:row>
      <xdr:rowOff>183801</xdr:rowOff>
    </xdr:to>
    <xdr:sp macro="" textlink="">
      <xdr:nvSpPr>
        <xdr:cNvPr id="28" name="Flowchart: Connector 27"/>
        <xdr:cNvSpPr/>
      </xdr:nvSpPr>
      <xdr:spPr>
        <a:xfrm>
          <a:off x="14086533" y="269631"/>
          <a:ext cx="136072" cy="104670"/>
        </a:xfrm>
        <a:prstGeom prst="flowChartConnector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noFill/>
          </a:endParaRPr>
        </a:p>
      </xdr:txBody>
    </xdr:sp>
    <xdr:clientData/>
  </xdr:twoCellAnchor>
  <xdr:twoCellAnchor>
    <xdr:from>
      <xdr:col>37</xdr:col>
      <xdr:colOff>83734</xdr:colOff>
      <xdr:row>0</xdr:row>
      <xdr:rowOff>147795</xdr:rowOff>
    </xdr:from>
    <xdr:to>
      <xdr:col>37</xdr:col>
      <xdr:colOff>272141</xdr:colOff>
      <xdr:row>2</xdr:row>
      <xdr:rowOff>41869</xdr:rowOff>
    </xdr:to>
    <xdr:sp macro="" textlink="">
      <xdr:nvSpPr>
        <xdr:cNvPr id="29" name="TextBox 28"/>
        <xdr:cNvSpPr txBox="1"/>
      </xdr:nvSpPr>
      <xdr:spPr>
        <a:xfrm>
          <a:off x="15228484" y="147795"/>
          <a:ext cx="188407" cy="27507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37</xdr:col>
      <xdr:colOff>116393</xdr:colOff>
      <xdr:row>1</xdr:row>
      <xdr:rowOff>84993</xdr:rowOff>
    </xdr:from>
    <xdr:to>
      <xdr:col>37</xdr:col>
      <xdr:colOff>252465</xdr:colOff>
      <xdr:row>2</xdr:row>
      <xdr:rowOff>1257</xdr:rowOff>
    </xdr:to>
    <xdr:sp macro="" textlink="">
      <xdr:nvSpPr>
        <xdr:cNvPr id="30" name="Flowchart: Connector 29"/>
        <xdr:cNvSpPr/>
      </xdr:nvSpPr>
      <xdr:spPr>
        <a:xfrm>
          <a:off x="15261143" y="275493"/>
          <a:ext cx="136072" cy="106764"/>
        </a:xfrm>
        <a:prstGeom prst="flowChartConnector">
          <a:avLst/>
        </a:prstGeom>
        <a:solidFill>
          <a:srgbClr val="FFFF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noFill/>
          </a:endParaRPr>
        </a:p>
      </xdr:txBody>
    </xdr:sp>
    <xdr:clientData/>
  </xdr:twoCellAnchor>
  <xdr:twoCellAnchor>
    <xdr:from>
      <xdr:col>29</xdr:col>
      <xdr:colOff>272144</xdr:colOff>
      <xdr:row>0</xdr:row>
      <xdr:rowOff>125604</xdr:rowOff>
    </xdr:from>
    <xdr:to>
      <xdr:col>33</xdr:col>
      <xdr:colOff>41869</xdr:colOff>
      <xdr:row>2</xdr:row>
      <xdr:rowOff>73269</xdr:rowOff>
    </xdr:to>
    <xdr:sp macro="" textlink="">
      <xdr:nvSpPr>
        <xdr:cNvPr id="31" name="TextBox 30"/>
        <xdr:cNvSpPr txBox="1"/>
      </xdr:nvSpPr>
      <xdr:spPr>
        <a:xfrm>
          <a:off x="12968969" y="125604"/>
          <a:ext cx="1017500" cy="32866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000" b="1">
              <a:solidFill>
                <a:schemeClr val="bg1"/>
              </a:solidFill>
            </a:rPr>
            <a:t>Present</a:t>
          </a:r>
        </a:p>
      </xdr:txBody>
    </xdr:sp>
    <xdr:clientData/>
  </xdr:twoCellAnchor>
  <xdr:twoCellAnchor>
    <xdr:from>
      <xdr:col>33</xdr:col>
      <xdr:colOff>251209</xdr:colOff>
      <xdr:row>0</xdr:row>
      <xdr:rowOff>157006</xdr:rowOff>
    </xdr:from>
    <xdr:to>
      <xdr:col>36</xdr:col>
      <xdr:colOff>272142</xdr:colOff>
      <xdr:row>2</xdr:row>
      <xdr:rowOff>73272</xdr:rowOff>
    </xdr:to>
    <xdr:sp macro="" textlink="">
      <xdr:nvSpPr>
        <xdr:cNvPr id="32" name="TextBox 31"/>
        <xdr:cNvSpPr txBox="1"/>
      </xdr:nvSpPr>
      <xdr:spPr>
        <a:xfrm>
          <a:off x="14195809" y="157006"/>
          <a:ext cx="935333" cy="29726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000" b="1">
              <a:solidFill>
                <a:schemeClr val="bg1"/>
              </a:solidFill>
            </a:rPr>
            <a:t>Absent</a:t>
          </a:r>
          <a:endParaRPr lang="en-US" sz="1600" b="1">
            <a:solidFill>
              <a:schemeClr val="bg1"/>
            </a:solidFill>
          </a:endParaRPr>
        </a:p>
      </xdr:txBody>
    </xdr:sp>
    <xdr:clientData/>
  </xdr:twoCellAnchor>
  <xdr:twoCellAnchor>
    <xdr:from>
      <xdr:col>37</xdr:col>
      <xdr:colOff>198873</xdr:colOff>
      <xdr:row>0</xdr:row>
      <xdr:rowOff>146539</xdr:rowOff>
    </xdr:from>
    <xdr:to>
      <xdr:col>39</xdr:col>
      <xdr:colOff>20934</xdr:colOff>
      <xdr:row>2</xdr:row>
      <xdr:rowOff>104671</xdr:rowOff>
    </xdr:to>
    <xdr:sp macro="" textlink="">
      <xdr:nvSpPr>
        <xdr:cNvPr id="33" name="TextBox 32"/>
        <xdr:cNvSpPr txBox="1"/>
      </xdr:nvSpPr>
      <xdr:spPr>
        <a:xfrm>
          <a:off x="15343623" y="146539"/>
          <a:ext cx="803136" cy="33913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000" b="1">
              <a:solidFill>
                <a:schemeClr val="bg1"/>
              </a:solidFill>
            </a:rPr>
            <a:t>Leave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</xdr:rowOff>
    </xdr:from>
    <xdr:to>
      <xdr:col>2</xdr:col>
      <xdr:colOff>590550</xdr:colOff>
      <xdr:row>28</xdr:row>
      <xdr:rowOff>134327</xdr:rowOff>
    </xdr:to>
    <xdr:sp macro="" textlink="">
      <xdr:nvSpPr>
        <xdr:cNvPr id="2" name="Rectangle 1"/>
        <xdr:cNvSpPr/>
      </xdr:nvSpPr>
      <xdr:spPr>
        <a:xfrm>
          <a:off x="0" y="1"/>
          <a:ext cx="1811704" cy="5653941"/>
        </a:xfrm>
        <a:prstGeom prst="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b="1"/>
        </a:p>
      </xdr:txBody>
    </xdr:sp>
    <xdr:clientData/>
  </xdr:twoCellAnchor>
  <xdr:twoCellAnchor>
    <xdr:from>
      <xdr:col>2</xdr:col>
      <xdr:colOff>492672</xdr:colOff>
      <xdr:row>0</xdr:row>
      <xdr:rowOff>10467</xdr:rowOff>
    </xdr:from>
    <xdr:to>
      <xdr:col>40</xdr:col>
      <xdr:colOff>296883</xdr:colOff>
      <xdr:row>3</xdr:row>
      <xdr:rowOff>34889</xdr:rowOff>
    </xdr:to>
    <xdr:sp macro="" textlink="">
      <xdr:nvSpPr>
        <xdr:cNvPr id="3" name="Rectangle 2"/>
        <xdr:cNvSpPr/>
      </xdr:nvSpPr>
      <xdr:spPr>
        <a:xfrm>
          <a:off x="1711872" y="10467"/>
          <a:ext cx="14710836" cy="595922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143852</xdr:colOff>
      <xdr:row>3</xdr:row>
      <xdr:rowOff>161925</xdr:rowOff>
    </xdr:from>
    <xdr:to>
      <xdr:col>3</xdr:col>
      <xdr:colOff>305777</xdr:colOff>
      <xdr:row>5</xdr:row>
      <xdr:rowOff>152401</xdr:rowOff>
    </xdr:to>
    <xdr:sp macro="" textlink="">
      <xdr:nvSpPr>
        <xdr:cNvPr id="4" name="Rounded Rectangle 3">
          <a:hlinkClick xmlns:r="http://schemas.openxmlformats.org/officeDocument/2006/relationships" r:id="rId1"/>
        </xdr:cNvPr>
        <xdr:cNvSpPr/>
      </xdr:nvSpPr>
      <xdr:spPr>
        <a:xfrm>
          <a:off x="143852" y="748079"/>
          <a:ext cx="1993656" cy="381245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0">
              <a:solidFill>
                <a:schemeClr val="bg2">
                  <a:lumMod val="90000"/>
                </a:schemeClr>
              </a:solidFill>
              <a:latin typeface="+mn-lt"/>
              <a:ea typeface="+mn-ea"/>
              <a:cs typeface="+mn-cs"/>
            </a:rPr>
            <a:t>January</a:t>
          </a:r>
        </a:p>
      </xdr:txBody>
    </xdr:sp>
    <xdr:clientData/>
  </xdr:twoCellAnchor>
  <xdr:twoCellAnchor>
    <xdr:from>
      <xdr:col>0</xdr:col>
      <xdr:colOff>528027</xdr:colOff>
      <xdr:row>16</xdr:row>
      <xdr:rowOff>38100</xdr:rowOff>
    </xdr:from>
    <xdr:to>
      <xdr:col>4</xdr:col>
      <xdr:colOff>79375</xdr:colOff>
      <xdr:row>18</xdr:row>
      <xdr:rowOff>21983</xdr:rowOff>
    </xdr:to>
    <xdr:sp macro="" textlink="">
      <xdr:nvSpPr>
        <xdr:cNvPr id="5" name="Rounded Rectangle 4">
          <a:hlinkClick xmlns:r="http://schemas.openxmlformats.org/officeDocument/2006/relationships" r:id="rId2"/>
        </xdr:cNvPr>
        <xdr:cNvSpPr/>
      </xdr:nvSpPr>
      <xdr:spPr>
        <a:xfrm>
          <a:off x="528027" y="3257550"/>
          <a:ext cx="1989748" cy="383933"/>
        </a:xfrm>
        <a:prstGeom prst="roundRect">
          <a:avLst/>
        </a:prstGeom>
        <a:solidFill>
          <a:schemeClr val="bg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 b="1">
              <a:solidFill>
                <a:schemeClr val="tx1"/>
              </a:solidFill>
              <a:latin typeface="+mn-lt"/>
              <a:ea typeface="+mn-ea"/>
              <a:cs typeface="+mn-cs"/>
            </a:rPr>
            <a:t>July</a:t>
          </a:r>
        </a:p>
      </xdr:txBody>
    </xdr:sp>
    <xdr:clientData/>
  </xdr:twoCellAnchor>
  <xdr:twoCellAnchor>
    <xdr:from>
      <xdr:col>0</xdr:col>
      <xdr:colOff>146783</xdr:colOff>
      <xdr:row>18</xdr:row>
      <xdr:rowOff>58371</xdr:rowOff>
    </xdr:from>
    <xdr:to>
      <xdr:col>3</xdr:col>
      <xdr:colOff>308708</xdr:colOff>
      <xdr:row>20</xdr:row>
      <xdr:rowOff>3419</xdr:rowOff>
    </xdr:to>
    <xdr:sp macro="" textlink="">
      <xdr:nvSpPr>
        <xdr:cNvPr id="6" name="Rounded Rectangle 5">
          <a:hlinkClick xmlns:r="http://schemas.openxmlformats.org/officeDocument/2006/relationships" r:id="rId3"/>
        </xdr:cNvPr>
        <xdr:cNvSpPr/>
      </xdr:nvSpPr>
      <xdr:spPr>
        <a:xfrm>
          <a:off x="146783" y="3563571"/>
          <a:ext cx="1990725" cy="326048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0">
              <a:solidFill>
                <a:schemeClr val="bg2">
                  <a:lumMod val="90000"/>
                </a:schemeClr>
              </a:solidFill>
            </a:rPr>
            <a:t>August</a:t>
          </a:r>
        </a:p>
      </xdr:txBody>
    </xdr:sp>
    <xdr:clientData/>
  </xdr:twoCellAnchor>
  <xdr:twoCellAnchor>
    <xdr:from>
      <xdr:col>0</xdr:col>
      <xdr:colOff>161682</xdr:colOff>
      <xdr:row>7</xdr:row>
      <xdr:rowOff>182197</xdr:rowOff>
    </xdr:from>
    <xdr:to>
      <xdr:col>3</xdr:col>
      <xdr:colOff>323607</xdr:colOff>
      <xdr:row>9</xdr:row>
      <xdr:rowOff>142875</xdr:rowOff>
    </xdr:to>
    <xdr:sp macro="" textlink="">
      <xdr:nvSpPr>
        <xdr:cNvPr id="7" name="Rounded Rectangle 6">
          <a:hlinkClick xmlns:r="http://schemas.openxmlformats.org/officeDocument/2006/relationships" r:id="rId4"/>
        </xdr:cNvPr>
        <xdr:cNvSpPr/>
      </xdr:nvSpPr>
      <xdr:spPr>
        <a:xfrm>
          <a:off x="161682" y="1591897"/>
          <a:ext cx="1990725" cy="341678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0">
              <a:solidFill>
                <a:schemeClr val="bg2">
                  <a:lumMod val="90000"/>
                </a:schemeClr>
              </a:solidFill>
            </a:rPr>
            <a:t>March</a:t>
          </a:r>
        </a:p>
      </xdr:txBody>
    </xdr:sp>
    <xdr:clientData/>
  </xdr:twoCellAnchor>
  <xdr:twoCellAnchor>
    <xdr:from>
      <xdr:col>0</xdr:col>
      <xdr:colOff>139944</xdr:colOff>
      <xdr:row>10</xdr:row>
      <xdr:rowOff>10745</xdr:rowOff>
    </xdr:from>
    <xdr:to>
      <xdr:col>3</xdr:col>
      <xdr:colOff>301869</xdr:colOff>
      <xdr:row>11</xdr:row>
      <xdr:rowOff>148003</xdr:rowOff>
    </xdr:to>
    <xdr:sp macro="" textlink="">
      <xdr:nvSpPr>
        <xdr:cNvPr id="8" name="Rounded Rectangle 7">
          <a:hlinkClick xmlns:r="http://schemas.openxmlformats.org/officeDocument/2006/relationships" r:id="rId5"/>
        </xdr:cNvPr>
        <xdr:cNvSpPr/>
      </xdr:nvSpPr>
      <xdr:spPr>
        <a:xfrm>
          <a:off x="139944" y="1991945"/>
          <a:ext cx="1990725" cy="327758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0">
              <a:solidFill>
                <a:schemeClr val="bg2">
                  <a:lumMod val="90000"/>
                </a:schemeClr>
              </a:solidFill>
              <a:latin typeface="+mn-lt"/>
              <a:ea typeface="+mn-ea"/>
              <a:cs typeface="+mn-cs"/>
            </a:rPr>
            <a:t>April</a:t>
          </a:r>
        </a:p>
      </xdr:txBody>
    </xdr:sp>
    <xdr:clientData/>
  </xdr:twoCellAnchor>
  <xdr:twoCellAnchor>
    <xdr:from>
      <xdr:col>0</xdr:col>
      <xdr:colOff>154843</xdr:colOff>
      <xdr:row>5</xdr:row>
      <xdr:rowOff>209550</xdr:rowOff>
    </xdr:from>
    <xdr:to>
      <xdr:col>3</xdr:col>
      <xdr:colOff>316768</xdr:colOff>
      <xdr:row>7</xdr:row>
      <xdr:rowOff>125048</xdr:rowOff>
    </xdr:to>
    <xdr:sp macro="" textlink="">
      <xdr:nvSpPr>
        <xdr:cNvPr id="9" name="Rounded Rectangle 8">
          <a:hlinkClick xmlns:r="http://schemas.openxmlformats.org/officeDocument/2006/relationships" r:id="rId6"/>
        </xdr:cNvPr>
        <xdr:cNvSpPr/>
      </xdr:nvSpPr>
      <xdr:spPr>
        <a:xfrm>
          <a:off x="154843" y="1181100"/>
          <a:ext cx="1990725" cy="353648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0">
              <a:solidFill>
                <a:schemeClr val="bg2">
                  <a:lumMod val="90000"/>
                </a:schemeClr>
              </a:solidFill>
            </a:rPr>
            <a:t>February</a:t>
          </a:r>
        </a:p>
      </xdr:txBody>
    </xdr:sp>
    <xdr:clientData/>
  </xdr:twoCellAnchor>
  <xdr:twoCellAnchor>
    <xdr:from>
      <xdr:col>0</xdr:col>
      <xdr:colOff>149469</xdr:colOff>
      <xdr:row>12</xdr:row>
      <xdr:rowOff>14899</xdr:rowOff>
    </xdr:from>
    <xdr:to>
      <xdr:col>3</xdr:col>
      <xdr:colOff>311394</xdr:colOff>
      <xdr:row>13</xdr:row>
      <xdr:rowOff>176824</xdr:rowOff>
    </xdr:to>
    <xdr:sp macro="" textlink="">
      <xdr:nvSpPr>
        <xdr:cNvPr id="10" name="Rounded Rectangle 9">
          <a:hlinkClick xmlns:r="http://schemas.openxmlformats.org/officeDocument/2006/relationships" r:id="rId7"/>
        </xdr:cNvPr>
        <xdr:cNvSpPr/>
      </xdr:nvSpPr>
      <xdr:spPr>
        <a:xfrm>
          <a:off x="149469" y="2377099"/>
          <a:ext cx="1990725" cy="352425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0">
              <a:solidFill>
                <a:schemeClr val="bg2">
                  <a:lumMod val="90000"/>
                </a:schemeClr>
              </a:solidFill>
            </a:rPr>
            <a:t>May</a:t>
          </a:r>
        </a:p>
      </xdr:txBody>
    </xdr:sp>
    <xdr:clientData/>
  </xdr:twoCellAnchor>
  <xdr:twoCellAnchor>
    <xdr:from>
      <xdr:col>0</xdr:col>
      <xdr:colOff>153622</xdr:colOff>
      <xdr:row>14</xdr:row>
      <xdr:rowOff>36635</xdr:rowOff>
    </xdr:from>
    <xdr:to>
      <xdr:col>3</xdr:col>
      <xdr:colOff>315547</xdr:colOff>
      <xdr:row>16</xdr:row>
      <xdr:rowOff>732</xdr:rowOff>
    </xdr:to>
    <xdr:sp macro="" textlink="">
      <xdr:nvSpPr>
        <xdr:cNvPr id="11" name="Rounded Rectangle 10">
          <a:hlinkClick xmlns:r="http://schemas.openxmlformats.org/officeDocument/2006/relationships" r:id="rId8"/>
        </xdr:cNvPr>
        <xdr:cNvSpPr/>
      </xdr:nvSpPr>
      <xdr:spPr>
        <a:xfrm>
          <a:off x="153622" y="2779835"/>
          <a:ext cx="1990725" cy="345097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0">
              <a:solidFill>
                <a:schemeClr val="bg2">
                  <a:lumMod val="90000"/>
                </a:schemeClr>
              </a:solidFill>
            </a:rPr>
            <a:t>June</a:t>
          </a:r>
        </a:p>
      </xdr:txBody>
    </xdr:sp>
    <xdr:clientData/>
  </xdr:twoCellAnchor>
  <xdr:twoCellAnchor>
    <xdr:from>
      <xdr:col>0</xdr:col>
      <xdr:colOff>144096</xdr:colOff>
      <xdr:row>20</xdr:row>
      <xdr:rowOff>59838</xdr:rowOff>
    </xdr:from>
    <xdr:to>
      <xdr:col>3</xdr:col>
      <xdr:colOff>306021</xdr:colOff>
      <xdr:row>22</xdr:row>
      <xdr:rowOff>8061</xdr:rowOff>
    </xdr:to>
    <xdr:sp macro="" textlink="">
      <xdr:nvSpPr>
        <xdr:cNvPr id="12" name="Rounded Rectangle 11">
          <a:hlinkClick xmlns:r="http://schemas.openxmlformats.org/officeDocument/2006/relationships" r:id="rId9"/>
        </xdr:cNvPr>
        <xdr:cNvSpPr/>
      </xdr:nvSpPr>
      <xdr:spPr>
        <a:xfrm>
          <a:off x="144096" y="3946038"/>
          <a:ext cx="1990725" cy="329223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0">
              <a:solidFill>
                <a:schemeClr val="bg2">
                  <a:lumMod val="90000"/>
                </a:schemeClr>
              </a:solidFill>
            </a:rPr>
            <a:t>September</a:t>
          </a:r>
        </a:p>
      </xdr:txBody>
    </xdr:sp>
    <xdr:clientData/>
  </xdr:twoCellAnchor>
  <xdr:twoCellAnchor>
    <xdr:from>
      <xdr:col>0</xdr:col>
      <xdr:colOff>145561</xdr:colOff>
      <xdr:row>22</xdr:row>
      <xdr:rowOff>54462</xdr:rowOff>
    </xdr:from>
    <xdr:to>
      <xdr:col>3</xdr:col>
      <xdr:colOff>307486</xdr:colOff>
      <xdr:row>24</xdr:row>
      <xdr:rowOff>9280</xdr:rowOff>
    </xdr:to>
    <xdr:sp macro="" textlink="">
      <xdr:nvSpPr>
        <xdr:cNvPr id="13" name="Rounded Rectangle 12">
          <a:hlinkClick xmlns:r="http://schemas.openxmlformats.org/officeDocument/2006/relationships" r:id="rId10"/>
        </xdr:cNvPr>
        <xdr:cNvSpPr/>
      </xdr:nvSpPr>
      <xdr:spPr>
        <a:xfrm>
          <a:off x="145561" y="4321662"/>
          <a:ext cx="1990725" cy="335818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0">
              <a:solidFill>
                <a:schemeClr val="bg2">
                  <a:lumMod val="90000"/>
                </a:schemeClr>
              </a:solidFill>
            </a:rPr>
            <a:t>October</a:t>
          </a:r>
        </a:p>
      </xdr:txBody>
    </xdr:sp>
    <xdr:clientData/>
  </xdr:twoCellAnchor>
  <xdr:twoCellAnchor>
    <xdr:from>
      <xdr:col>0</xdr:col>
      <xdr:colOff>160459</xdr:colOff>
      <xdr:row>24</xdr:row>
      <xdr:rowOff>64965</xdr:rowOff>
    </xdr:from>
    <xdr:to>
      <xdr:col>3</xdr:col>
      <xdr:colOff>322384</xdr:colOff>
      <xdr:row>26</xdr:row>
      <xdr:rowOff>25645</xdr:rowOff>
    </xdr:to>
    <xdr:sp macro="" textlink="">
      <xdr:nvSpPr>
        <xdr:cNvPr id="14" name="Rounded Rectangle 13">
          <a:hlinkClick xmlns:r="http://schemas.openxmlformats.org/officeDocument/2006/relationships" r:id="rId11"/>
        </xdr:cNvPr>
        <xdr:cNvSpPr/>
      </xdr:nvSpPr>
      <xdr:spPr>
        <a:xfrm>
          <a:off x="160459" y="4713165"/>
          <a:ext cx="1990725" cy="351205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0">
              <a:solidFill>
                <a:schemeClr val="bg2">
                  <a:lumMod val="90000"/>
                </a:schemeClr>
              </a:solidFill>
            </a:rPr>
            <a:t>November</a:t>
          </a:r>
        </a:p>
      </xdr:txBody>
    </xdr:sp>
    <xdr:clientData/>
  </xdr:twoCellAnchor>
  <xdr:twoCellAnchor>
    <xdr:from>
      <xdr:col>0</xdr:col>
      <xdr:colOff>155086</xdr:colOff>
      <xdr:row>26</xdr:row>
      <xdr:rowOff>70583</xdr:rowOff>
    </xdr:from>
    <xdr:to>
      <xdr:col>3</xdr:col>
      <xdr:colOff>317011</xdr:colOff>
      <xdr:row>28</xdr:row>
      <xdr:rowOff>57150</xdr:rowOff>
    </xdr:to>
    <xdr:sp macro="" textlink="">
      <xdr:nvSpPr>
        <xdr:cNvPr id="15" name="Rounded Rectangle 14">
          <a:hlinkClick xmlns:r="http://schemas.openxmlformats.org/officeDocument/2006/relationships" r:id="rId12"/>
        </xdr:cNvPr>
        <xdr:cNvSpPr/>
      </xdr:nvSpPr>
      <xdr:spPr>
        <a:xfrm>
          <a:off x="155086" y="5109308"/>
          <a:ext cx="1990725" cy="367567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0">
              <a:solidFill>
                <a:schemeClr val="bg2">
                  <a:lumMod val="90000"/>
                </a:schemeClr>
              </a:solidFill>
            </a:rPr>
            <a:t>December</a:t>
          </a:r>
        </a:p>
      </xdr:txBody>
    </xdr:sp>
    <xdr:clientData/>
  </xdr:twoCellAnchor>
  <xdr:twoCellAnchor>
    <xdr:from>
      <xdr:col>41</xdr:col>
      <xdr:colOff>24741</xdr:colOff>
      <xdr:row>0</xdr:row>
      <xdr:rowOff>12370</xdr:rowOff>
    </xdr:from>
    <xdr:to>
      <xdr:col>57</xdr:col>
      <xdr:colOff>148442</xdr:colOff>
      <xdr:row>3</xdr:row>
      <xdr:rowOff>0</xdr:rowOff>
    </xdr:to>
    <xdr:sp macro="" textlink="">
      <xdr:nvSpPr>
        <xdr:cNvPr id="16" name="Rectangle 15"/>
        <xdr:cNvSpPr/>
      </xdr:nvSpPr>
      <xdr:spPr>
        <a:xfrm>
          <a:off x="16760166" y="12370"/>
          <a:ext cx="13372976" cy="559130"/>
        </a:xfrm>
        <a:prstGeom prst="rect">
          <a:avLst/>
        </a:prstGeom>
        <a:solidFill>
          <a:srgbClr val="FF9900"/>
        </a:solidFill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3200" b="1">
              <a:solidFill>
                <a:schemeClr val="tx1"/>
              </a:solidFill>
            </a:rPr>
            <a:t>MONTHLY </a:t>
          </a:r>
          <a:r>
            <a:rPr lang="en-US" sz="3600" b="1">
              <a:solidFill>
                <a:schemeClr val="tx1"/>
              </a:solidFill>
            </a:rPr>
            <a:t>REPORT</a:t>
          </a:r>
        </a:p>
      </xdr:txBody>
    </xdr:sp>
    <xdr:clientData/>
  </xdr:twoCellAnchor>
  <xdr:twoCellAnchor>
    <xdr:from>
      <xdr:col>7</xdr:col>
      <xdr:colOff>371468</xdr:colOff>
      <xdr:row>0</xdr:row>
      <xdr:rowOff>142874</xdr:rowOff>
    </xdr:from>
    <xdr:to>
      <xdr:col>8</xdr:col>
      <xdr:colOff>293804</xdr:colOff>
      <xdr:row>2</xdr:row>
      <xdr:rowOff>87187</xdr:rowOff>
    </xdr:to>
    <xdr:sp macro="" textlink="$K$4">
      <xdr:nvSpPr>
        <xdr:cNvPr id="17" name="TextBox 16"/>
        <xdr:cNvSpPr txBox="1"/>
      </xdr:nvSpPr>
      <xdr:spPr>
        <a:xfrm>
          <a:off x="4810118" y="142874"/>
          <a:ext cx="1055811" cy="3253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FDEDC129-0A7F-4630-BA04-D6C866EC8672}" type="TxLink">
            <a:rPr lang="en-US" sz="1600" b="1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31-Jul-25</a:t>
          </a:fld>
          <a:endParaRPr lang="en-US" sz="1600" b="1"/>
        </a:p>
      </xdr:txBody>
    </xdr:sp>
    <xdr:clientData/>
  </xdr:twoCellAnchor>
  <xdr:twoCellAnchor>
    <xdr:from>
      <xdr:col>2</xdr:col>
      <xdr:colOff>600209</xdr:colOff>
      <xdr:row>0</xdr:row>
      <xdr:rowOff>142385</xdr:rowOff>
    </xdr:from>
    <xdr:to>
      <xdr:col>4</xdr:col>
      <xdr:colOff>457200</xdr:colOff>
      <xdr:row>2</xdr:row>
      <xdr:rowOff>81328</xdr:rowOff>
    </xdr:to>
    <xdr:sp macro="" textlink="">
      <xdr:nvSpPr>
        <xdr:cNvPr id="18" name="TextBox 17"/>
        <xdr:cNvSpPr txBox="1"/>
      </xdr:nvSpPr>
      <xdr:spPr>
        <a:xfrm>
          <a:off x="1819409" y="142385"/>
          <a:ext cx="1076191" cy="319943"/>
        </a:xfrm>
        <a:prstGeom prst="rect">
          <a:avLst/>
        </a:prstGeom>
        <a:solidFill>
          <a:srgbClr val="FF99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000" b="1"/>
            <a:t>From</a:t>
          </a:r>
          <a:endParaRPr lang="en-US" sz="1100" b="1"/>
        </a:p>
      </xdr:txBody>
    </xdr:sp>
    <xdr:clientData/>
  </xdr:twoCellAnchor>
  <xdr:twoCellAnchor>
    <xdr:from>
      <xdr:col>4</xdr:col>
      <xdr:colOff>465257</xdr:colOff>
      <xdr:row>0</xdr:row>
      <xdr:rowOff>142385</xdr:rowOff>
    </xdr:from>
    <xdr:to>
      <xdr:col>6</xdr:col>
      <xdr:colOff>369029</xdr:colOff>
      <xdr:row>2</xdr:row>
      <xdr:rowOff>81326</xdr:rowOff>
    </xdr:to>
    <xdr:sp macro="" textlink="$H$4">
      <xdr:nvSpPr>
        <xdr:cNvPr id="19" name="TextBox 18"/>
        <xdr:cNvSpPr txBox="1"/>
      </xdr:nvSpPr>
      <xdr:spPr>
        <a:xfrm>
          <a:off x="2903657" y="142385"/>
          <a:ext cx="1122972" cy="31994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3786EEC2-464A-469E-BA84-9467F94783BA}" type="TxLink">
            <a:rPr lang="en-US" sz="1600" b="1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01-Jul-25</a:t>
          </a:fld>
          <a:endParaRPr lang="en-US" sz="2000" b="1"/>
        </a:p>
      </xdr:txBody>
    </xdr:sp>
    <xdr:clientData/>
  </xdr:twoCellAnchor>
  <xdr:twoCellAnchor>
    <xdr:from>
      <xdr:col>6</xdr:col>
      <xdr:colOff>516607</xdr:colOff>
      <xdr:row>0</xdr:row>
      <xdr:rowOff>142875</xdr:rowOff>
    </xdr:from>
    <xdr:to>
      <xdr:col>7</xdr:col>
      <xdr:colOff>368120</xdr:colOff>
      <xdr:row>2</xdr:row>
      <xdr:rowOff>81818</xdr:rowOff>
    </xdr:to>
    <xdr:sp macro="" textlink="">
      <xdr:nvSpPr>
        <xdr:cNvPr id="20" name="TextBox 19"/>
        <xdr:cNvSpPr txBox="1"/>
      </xdr:nvSpPr>
      <xdr:spPr>
        <a:xfrm>
          <a:off x="4174207" y="142875"/>
          <a:ext cx="632563" cy="319943"/>
        </a:xfrm>
        <a:prstGeom prst="rect">
          <a:avLst/>
        </a:prstGeom>
        <a:solidFill>
          <a:srgbClr val="FF99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000" b="1"/>
            <a:t>To</a:t>
          </a:r>
        </a:p>
      </xdr:txBody>
    </xdr:sp>
    <xdr:clientData/>
  </xdr:twoCellAnchor>
  <xdr:twoCellAnchor>
    <xdr:from>
      <xdr:col>9</xdr:col>
      <xdr:colOff>104773</xdr:colOff>
      <xdr:row>0</xdr:row>
      <xdr:rowOff>95251</xdr:rowOff>
    </xdr:from>
    <xdr:to>
      <xdr:col>28</xdr:col>
      <xdr:colOff>195384</xdr:colOff>
      <xdr:row>2</xdr:row>
      <xdr:rowOff>133351</xdr:rowOff>
    </xdr:to>
    <xdr:sp macro="" textlink="">
      <xdr:nvSpPr>
        <xdr:cNvPr id="21" name="Rectangle 20"/>
        <xdr:cNvSpPr/>
      </xdr:nvSpPr>
      <xdr:spPr>
        <a:xfrm>
          <a:off x="6503619" y="95251"/>
          <a:ext cx="6220803" cy="428869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110465</xdr:colOff>
      <xdr:row>1</xdr:row>
      <xdr:rowOff>12369</xdr:rowOff>
    </xdr:from>
    <xdr:to>
      <xdr:col>19</xdr:col>
      <xdr:colOff>148441</xdr:colOff>
      <xdr:row>2</xdr:row>
      <xdr:rowOff>23872</xdr:rowOff>
    </xdr:to>
    <xdr:sp macro="" textlink="">
      <xdr:nvSpPr>
        <xdr:cNvPr id="22" name="TextBox 21"/>
        <xdr:cNvSpPr txBox="1"/>
      </xdr:nvSpPr>
      <xdr:spPr>
        <a:xfrm>
          <a:off x="6644615" y="202869"/>
          <a:ext cx="3028826" cy="202003"/>
        </a:xfrm>
        <a:prstGeom prst="rect">
          <a:avLst/>
        </a:prstGeom>
        <a:solidFill>
          <a:schemeClr val="bg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800" b="1"/>
            <a:t>Dashboard For</a:t>
          </a:r>
          <a:r>
            <a:rPr lang="en-US" sz="1800" b="1" baseline="0"/>
            <a:t> The Month Of    </a:t>
          </a:r>
          <a:endParaRPr lang="en-US" sz="1800" b="1"/>
        </a:p>
      </xdr:txBody>
    </xdr:sp>
    <xdr:clientData/>
  </xdr:twoCellAnchor>
  <xdr:twoCellAnchor editAs="oneCell">
    <xdr:from>
      <xdr:col>9</xdr:col>
      <xdr:colOff>107128</xdr:colOff>
      <xdr:row>0</xdr:row>
      <xdr:rowOff>133530</xdr:rowOff>
    </xdr:from>
    <xdr:to>
      <xdr:col>10</xdr:col>
      <xdr:colOff>79043</xdr:colOff>
      <xdr:row>2</xdr:row>
      <xdr:rowOff>114536</xdr:rowOff>
    </xdr:to>
    <xdr:pic>
      <xdr:nvPicPr>
        <xdr:cNvPr id="23" name="Picture 22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 rot="5158119">
          <a:off x="6270020" y="152363"/>
          <a:ext cx="362006" cy="324340"/>
        </a:xfrm>
        <a:prstGeom prst="rect">
          <a:avLst/>
        </a:prstGeom>
      </xdr:spPr>
    </xdr:pic>
    <xdr:clientData/>
  </xdr:twoCellAnchor>
  <xdr:twoCellAnchor>
    <xdr:from>
      <xdr:col>19</xdr:col>
      <xdr:colOff>108205</xdr:colOff>
      <xdr:row>0</xdr:row>
      <xdr:rowOff>145719</xdr:rowOff>
    </xdr:from>
    <xdr:to>
      <xdr:col>24</xdr:col>
      <xdr:colOff>108205</xdr:colOff>
      <xdr:row>2</xdr:row>
      <xdr:rowOff>98095</xdr:rowOff>
    </xdr:to>
    <xdr:sp macro="" textlink="$O$4">
      <xdr:nvSpPr>
        <xdr:cNvPr id="24" name="TextBox 23"/>
        <xdr:cNvSpPr txBox="1"/>
      </xdr:nvSpPr>
      <xdr:spPr>
        <a:xfrm>
          <a:off x="9828590" y="145719"/>
          <a:ext cx="1575288" cy="343145"/>
        </a:xfrm>
        <a:prstGeom prst="rect">
          <a:avLst/>
        </a:prstGeom>
        <a:solidFill>
          <a:srgbClr val="FF99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34BAD96D-33B3-407C-843D-30EA8E6C9ECE}" type="TxLink">
            <a:rPr lang="en-US" sz="2400" b="1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July</a:t>
          </a:fld>
          <a:endParaRPr lang="en-US" sz="2400" b="1"/>
        </a:p>
      </xdr:txBody>
    </xdr:sp>
    <xdr:clientData/>
  </xdr:twoCellAnchor>
  <xdr:twoCellAnchor>
    <xdr:from>
      <xdr:col>29</xdr:col>
      <xdr:colOff>52336</xdr:colOff>
      <xdr:row>0</xdr:row>
      <xdr:rowOff>167472</xdr:rowOff>
    </xdr:from>
    <xdr:to>
      <xdr:col>30</xdr:col>
      <xdr:colOff>73270</xdr:colOff>
      <xdr:row>2</xdr:row>
      <xdr:rowOff>52335</xdr:rowOff>
    </xdr:to>
    <xdr:sp macro="" textlink="">
      <xdr:nvSpPr>
        <xdr:cNvPr id="25" name="TextBox 24"/>
        <xdr:cNvSpPr txBox="1"/>
      </xdr:nvSpPr>
      <xdr:spPr>
        <a:xfrm>
          <a:off x="12749161" y="167472"/>
          <a:ext cx="306684" cy="26586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29</xdr:col>
      <xdr:colOff>167471</xdr:colOff>
      <xdr:row>1</xdr:row>
      <xdr:rowOff>62802</xdr:rowOff>
    </xdr:from>
    <xdr:to>
      <xdr:col>30</xdr:col>
      <xdr:colOff>20933</xdr:colOff>
      <xdr:row>1</xdr:row>
      <xdr:rowOff>167472</xdr:rowOff>
    </xdr:to>
    <xdr:sp macro="" textlink="">
      <xdr:nvSpPr>
        <xdr:cNvPr id="26" name="Flowchart: Connector 25"/>
        <xdr:cNvSpPr/>
      </xdr:nvSpPr>
      <xdr:spPr>
        <a:xfrm>
          <a:off x="12864296" y="253302"/>
          <a:ext cx="139212" cy="104670"/>
        </a:xfrm>
        <a:prstGeom prst="flowChartConnector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noFill/>
          </a:endParaRPr>
        </a:p>
      </xdr:txBody>
    </xdr:sp>
    <xdr:clientData/>
  </xdr:twoCellAnchor>
  <xdr:twoCellAnchor>
    <xdr:from>
      <xdr:col>33</xdr:col>
      <xdr:colOff>136071</xdr:colOff>
      <xdr:row>0</xdr:row>
      <xdr:rowOff>167473</xdr:rowOff>
    </xdr:from>
    <xdr:to>
      <xdr:col>34</xdr:col>
      <xdr:colOff>52334</xdr:colOff>
      <xdr:row>2</xdr:row>
      <xdr:rowOff>73270</xdr:rowOff>
    </xdr:to>
    <xdr:sp macro="" textlink="">
      <xdr:nvSpPr>
        <xdr:cNvPr id="27" name="TextBox 26"/>
        <xdr:cNvSpPr txBox="1"/>
      </xdr:nvSpPr>
      <xdr:spPr>
        <a:xfrm>
          <a:off x="14080671" y="167473"/>
          <a:ext cx="202013" cy="28679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33</xdr:col>
      <xdr:colOff>141933</xdr:colOff>
      <xdr:row>1</xdr:row>
      <xdr:rowOff>79131</xdr:rowOff>
    </xdr:from>
    <xdr:to>
      <xdr:col>33</xdr:col>
      <xdr:colOff>278005</xdr:colOff>
      <xdr:row>1</xdr:row>
      <xdr:rowOff>183801</xdr:rowOff>
    </xdr:to>
    <xdr:sp macro="" textlink="">
      <xdr:nvSpPr>
        <xdr:cNvPr id="28" name="Flowchart: Connector 27"/>
        <xdr:cNvSpPr/>
      </xdr:nvSpPr>
      <xdr:spPr>
        <a:xfrm>
          <a:off x="14086533" y="269631"/>
          <a:ext cx="136072" cy="104670"/>
        </a:xfrm>
        <a:prstGeom prst="flowChartConnector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noFill/>
          </a:endParaRPr>
        </a:p>
      </xdr:txBody>
    </xdr:sp>
    <xdr:clientData/>
  </xdr:twoCellAnchor>
  <xdr:twoCellAnchor>
    <xdr:from>
      <xdr:col>37</xdr:col>
      <xdr:colOff>83734</xdr:colOff>
      <xdr:row>0</xdr:row>
      <xdr:rowOff>147795</xdr:rowOff>
    </xdr:from>
    <xdr:to>
      <xdr:col>37</xdr:col>
      <xdr:colOff>272141</xdr:colOff>
      <xdr:row>2</xdr:row>
      <xdr:rowOff>41869</xdr:rowOff>
    </xdr:to>
    <xdr:sp macro="" textlink="">
      <xdr:nvSpPr>
        <xdr:cNvPr id="29" name="TextBox 28"/>
        <xdr:cNvSpPr txBox="1"/>
      </xdr:nvSpPr>
      <xdr:spPr>
        <a:xfrm>
          <a:off x="15228484" y="147795"/>
          <a:ext cx="188407" cy="27507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37</xdr:col>
      <xdr:colOff>116393</xdr:colOff>
      <xdr:row>1</xdr:row>
      <xdr:rowOff>84993</xdr:rowOff>
    </xdr:from>
    <xdr:to>
      <xdr:col>37</xdr:col>
      <xdr:colOff>252465</xdr:colOff>
      <xdr:row>2</xdr:row>
      <xdr:rowOff>1257</xdr:rowOff>
    </xdr:to>
    <xdr:sp macro="" textlink="">
      <xdr:nvSpPr>
        <xdr:cNvPr id="30" name="Flowchart: Connector 29"/>
        <xdr:cNvSpPr/>
      </xdr:nvSpPr>
      <xdr:spPr>
        <a:xfrm>
          <a:off x="15261143" y="275493"/>
          <a:ext cx="136072" cy="106764"/>
        </a:xfrm>
        <a:prstGeom prst="flowChartConnector">
          <a:avLst/>
        </a:prstGeom>
        <a:solidFill>
          <a:srgbClr val="FFFF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noFill/>
          </a:endParaRPr>
        </a:p>
      </xdr:txBody>
    </xdr:sp>
    <xdr:clientData/>
  </xdr:twoCellAnchor>
  <xdr:twoCellAnchor>
    <xdr:from>
      <xdr:col>29</xdr:col>
      <xdr:colOff>272144</xdr:colOff>
      <xdr:row>0</xdr:row>
      <xdr:rowOff>125604</xdr:rowOff>
    </xdr:from>
    <xdr:to>
      <xdr:col>33</xdr:col>
      <xdr:colOff>41869</xdr:colOff>
      <xdr:row>2</xdr:row>
      <xdr:rowOff>73269</xdr:rowOff>
    </xdr:to>
    <xdr:sp macro="" textlink="">
      <xdr:nvSpPr>
        <xdr:cNvPr id="31" name="TextBox 30"/>
        <xdr:cNvSpPr txBox="1"/>
      </xdr:nvSpPr>
      <xdr:spPr>
        <a:xfrm>
          <a:off x="12968969" y="125604"/>
          <a:ext cx="1017500" cy="32866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000" b="1">
              <a:solidFill>
                <a:schemeClr val="bg1"/>
              </a:solidFill>
            </a:rPr>
            <a:t>Present</a:t>
          </a:r>
        </a:p>
      </xdr:txBody>
    </xdr:sp>
    <xdr:clientData/>
  </xdr:twoCellAnchor>
  <xdr:twoCellAnchor>
    <xdr:from>
      <xdr:col>33</xdr:col>
      <xdr:colOff>251209</xdr:colOff>
      <xdr:row>0</xdr:row>
      <xdr:rowOff>157006</xdr:rowOff>
    </xdr:from>
    <xdr:to>
      <xdr:col>36</xdr:col>
      <xdr:colOff>272142</xdr:colOff>
      <xdr:row>2</xdr:row>
      <xdr:rowOff>73272</xdr:rowOff>
    </xdr:to>
    <xdr:sp macro="" textlink="">
      <xdr:nvSpPr>
        <xdr:cNvPr id="32" name="TextBox 31"/>
        <xdr:cNvSpPr txBox="1"/>
      </xdr:nvSpPr>
      <xdr:spPr>
        <a:xfrm>
          <a:off x="14195809" y="157006"/>
          <a:ext cx="935333" cy="29726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000" b="1">
              <a:solidFill>
                <a:schemeClr val="bg1"/>
              </a:solidFill>
            </a:rPr>
            <a:t>Absent</a:t>
          </a:r>
          <a:endParaRPr lang="en-US" sz="1600" b="1">
            <a:solidFill>
              <a:schemeClr val="bg1"/>
            </a:solidFill>
          </a:endParaRPr>
        </a:p>
      </xdr:txBody>
    </xdr:sp>
    <xdr:clientData/>
  </xdr:twoCellAnchor>
  <xdr:twoCellAnchor>
    <xdr:from>
      <xdr:col>37</xdr:col>
      <xdr:colOff>198873</xdr:colOff>
      <xdr:row>0</xdr:row>
      <xdr:rowOff>146539</xdr:rowOff>
    </xdr:from>
    <xdr:to>
      <xdr:col>40</xdr:col>
      <xdr:colOff>20934</xdr:colOff>
      <xdr:row>2</xdr:row>
      <xdr:rowOff>104671</xdr:rowOff>
    </xdr:to>
    <xdr:sp macro="" textlink="">
      <xdr:nvSpPr>
        <xdr:cNvPr id="33" name="TextBox 32"/>
        <xdr:cNvSpPr txBox="1"/>
      </xdr:nvSpPr>
      <xdr:spPr>
        <a:xfrm>
          <a:off x="15343623" y="146539"/>
          <a:ext cx="803136" cy="33913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000" b="1">
              <a:solidFill>
                <a:schemeClr val="bg1"/>
              </a:solidFill>
            </a:rPr>
            <a:t>Leave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</xdr:rowOff>
    </xdr:from>
    <xdr:to>
      <xdr:col>2</xdr:col>
      <xdr:colOff>590550</xdr:colOff>
      <xdr:row>28</xdr:row>
      <xdr:rowOff>109905</xdr:rowOff>
    </xdr:to>
    <xdr:sp macro="" textlink="">
      <xdr:nvSpPr>
        <xdr:cNvPr id="2" name="Rectangle 1"/>
        <xdr:cNvSpPr/>
      </xdr:nvSpPr>
      <xdr:spPr>
        <a:xfrm>
          <a:off x="0" y="2"/>
          <a:ext cx="1811704" cy="5629518"/>
        </a:xfrm>
        <a:prstGeom prst="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b="1"/>
        </a:p>
      </xdr:txBody>
    </xdr:sp>
    <xdr:clientData/>
  </xdr:twoCellAnchor>
  <xdr:twoCellAnchor>
    <xdr:from>
      <xdr:col>2</xdr:col>
      <xdr:colOff>492672</xdr:colOff>
      <xdr:row>0</xdr:row>
      <xdr:rowOff>10467</xdr:rowOff>
    </xdr:from>
    <xdr:to>
      <xdr:col>40</xdr:col>
      <xdr:colOff>296883</xdr:colOff>
      <xdr:row>3</xdr:row>
      <xdr:rowOff>34889</xdr:rowOff>
    </xdr:to>
    <xdr:sp macro="" textlink="">
      <xdr:nvSpPr>
        <xdr:cNvPr id="3" name="Rectangle 2"/>
        <xdr:cNvSpPr/>
      </xdr:nvSpPr>
      <xdr:spPr>
        <a:xfrm>
          <a:off x="1711872" y="10467"/>
          <a:ext cx="14710836" cy="595922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140494</xdr:colOff>
      <xdr:row>3</xdr:row>
      <xdr:rowOff>149714</xdr:rowOff>
    </xdr:from>
    <xdr:to>
      <xdr:col>3</xdr:col>
      <xdr:colOff>302419</xdr:colOff>
      <xdr:row>5</xdr:row>
      <xdr:rowOff>140190</xdr:rowOff>
    </xdr:to>
    <xdr:sp macro="" textlink="">
      <xdr:nvSpPr>
        <xdr:cNvPr id="4" name="Rounded Rectangle 3">
          <a:hlinkClick xmlns:r="http://schemas.openxmlformats.org/officeDocument/2006/relationships" r:id="rId1"/>
        </xdr:cNvPr>
        <xdr:cNvSpPr/>
      </xdr:nvSpPr>
      <xdr:spPr>
        <a:xfrm>
          <a:off x="140494" y="721214"/>
          <a:ext cx="1983581" cy="395289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0">
              <a:solidFill>
                <a:schemeClr val="bg2">
                  <a:lumMod val="90000"/>
                </a:schemeClr>
              </a:solidFill>
              <a:latin typeface="+mn-lt"/>
              <a:ea typeface="+mn-ea"/>
              <a:cs typeface="+mn-cs"/>
            </a:rPr>
            <a:t>January</a:t>
          </a:r>
        </a:p>
      </xdr:txBody>
    </xdr:sp>
    <xdr:clientData/>
  </xdr:twoCellAnchor>
  <xdr:twoCellAnchor>
    <xdr:from>
      <xdr:col>0</xdr:col>
      <xdr:colOff>150935</xdr:colOff>
      <xdr:row>16</xdr:row>
      <xdr:rowOff>48846</xdr:rowOff>
    </xdr:from>
    <xdr:to>
      <xdr:col>3</xdr:col>
      <xdr:colOff>312860</xdr:colOff>
      <xdr:row>17</xdr:row>
      <xdr:rowOff>186105</xdr:rowOff>
    </xdr:to>
    <xdr:sp macro="" textlink="">
      <xdr:nvSpPr>
        <xdr:cNvPr id="5" name="Rounded Rectangle 4">
          <a:hlinkClick xmlns:r="http://schemas.openxmlformats.org/officeDocument/2006/relationships" r:id="rId2"/>
        </xdr:cNvPr>
        <xdr:cNvSpPr/>
      </xdr:nvSpPr>
      <xdr:spPr>
        <a:xfrm>
          <a:off x="150935" y="3173046"/>
          <a:ext cx="1990725" cy="327759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0">
              <a:solidFill>
                <a:schemeClr val="bg2">
                  <a:lumMod val="90000"/>
                </a:schemeClr>
              </a:solidFill>
            </a:rPr>
            <a:t>July</a:t>
          </a:r>
        </a:p>
      </xdr:txBody>
    </xdr:sp>
    <xdr:clientData/>
  </xdr:twoCellAnchor>
  <xdr:twoCellAnchor>
    <xdr:from>
      <xdr:col>0</xdr:col>
      <xdr:colOff>508733</xdr:colOff>
      <xdr:row>18</xdr:row>
      <xdr:rowOff>38101</xdr:rowOff>
    </xdr:from>
    <xdr:to>
      <xdr:col>4</xdr:col>
      <xdr:colOff>63439</xdr:colOff>
      <xdr:row>20</xdr:row>
      <xdr:rowOff>12945</xdr:rowOff>
    </xdr:to>
    <xdr:sp macro="" textlink="">
      <xdr:nvSpPr>
        <xdr:cNvPr id="6" name="Rounded Rectangle 5">
          <a:hlinkClick xmlns:r="http://schemas.openxmlformats.org/officeDocument/2006/relationships" r:id="rId3"/>
        </xdr:cNvPr>
        <xdr:cNvSpPr/>
      </xdr:nvSpPr>
      <xdr:spPr>
        <a:xfrm>
          <a:off x="508733" y="3657601"/>
          <a:ext cx="1993106" cy="374894"/>
        </a:xfrm>
        <a:prstGeom prst="roundRect">
          <a:avLst/>
        </a:prstGeom>
        <a:solidFill>
          <a:schemeClr val="bg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 b="1">
              <a:solidFill>
                <a:schemeClr val="tx1"/>
              </a:solidFill>
              <a:latin typeface="+mn-lt"/>
              <a:ea typeface="+mn-ea"/>
              <a:cs typeface="+mn-cs"/>
            </a:rPr>
            <a:t>August</a:t>
          </a:r>
        </a:p>
      </xdr:txBody>
    </xdr:sp>
    <xdr:clientData/>
  </xdr:twoCellAnchor>
  <xdr:twoCellAnchor>
    <xdr:from>
      <xdr:col>0</xdr:col>
      <xdr:colOff>161682</xdr:colOff>
      <xdr:row>7</xdr:row>
      <xdr:rowOff>182197</xdr:rowOff>
    </xdr:from>
    <xdr:to>
      <xdr:col>3</xdr:col>
      <xdr:colOff>323607</xdr:colOff>
      <xdr:row>9</xdr:row>
      <xdr:rowOff>142875</xdr:rowOff>
    </xdr:to>
    <xdr:sp macro="" textlink="">
      <xdr:nvSpPr>
        <xdr:cNvPr id="7" name="Rounded Rectangle 6">
          <a:hlinkClick xmlns:r="http://schemas.openxmlformats.org/officeDocument/2006/relationships" r:id="rId4"/>
        </xdr:cNvPr>
        <xdr:cNvSpPr/>
      </xdr:nvSpPr>
      <xdr:spPr>
        <a:xfrm>
          <a:off x="161682" y="1591897"/>
          <a:ext cx="1990725" cy="341678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0">
              <a:solidFill>
                <a:schemeClr val="bg2">
                  <a:lumMod val="90000"/>
                </a:schemeClr>
              </a:solidFill>
            </a:rPr>
            <a:t>March</a:t>
          </a:r>
        </a:p>
      </xdr:txBody>
    </xdr:sp>
    <xdr:clientData/>
  </xdr:twoCellAnchor>
  <xdr:twoCellAnchor>
    <xdr:from>
      <xdr:col>0</xdr:col>
      <xdr:colOff>139944</xdr:colOff>
      <xdr:row>10</xdr:row>
      <xdr:rowOff>10745</xdr:rowOff>
    </xdr:from>
    <xdr:to>
      <xdr:col>3</xdr:col>
      <xdr:colOff>301869</xdr:colOff>
      <xdr:row>11</xdr:row>
      <xdr:rowOff>148003</xdr:rowOff>
    </xdr:to>
    <xdr:sp macro="" textlink="">
      <xdr:nvSpPr>
        <xdr:cNvPr id="8" name="Rounded Rectangle 7">
          <a:hlinkClick xmlns:r="http://schemas.openxmlformats.org/officeDocument/2006/relationships" r:id="rId5"/>
        </xdr:cNvPr>
        <xdr:cNvSpPr/>
      </xdr:nvSpPr>
      <xdr:spPr>
        <a:xfrm>
          <a:off x="139944" y="1991945"/>
          <a:ext cx="1990725" cy="327758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0">
              <a:solidFill>
                <a:schemeClr val="bg2">
                  <a:lumMod val="90000"/>
                </a:schemeClr>
              </a:solidFill>
              <a:latin typeface="+mn-lt"/>
              <a:ea typeface="+mn-ea"/>
              <a:cs typeface="+mn-cs"/>
            </a:rPr>
            <a:t>April</a:t>
          </a:r>
        </a:p>
      </xdr:txBody>
    </xdr:sp>
    <xdr:clientData/>
  </xdr:twoCellAnchor>
  <xdr:twoCellAnchor>
    <xdr:from>
      <xdr:col>0</xdr:col>
      <xdr:colOff>154843</xdr:colOff>
      <xdr:row>5</xdr:row>
      <xdr:rowOff>209550</xdr:rowOff>
    </xdr:from>
    <xdr:to>
      <xdr:col>3</xdr:col>
      <xdr:colOff>316768</xdr:colOff>
      <xdr:row>7</xdr:row>
      <xdr:rowOff>125048</xdr:rowOff>
    </xdr:to>
    <xdr:sp macro="" textlink="">
      <xdr:nvSpPr>
        <xdr:cNvPr id="9" name="Rounded Rectangle 8">
          <a:hlinkClick xmlns:r="http://schemas.openxmlformats.org/officeDocument/2006/relationships" r:id="rId6"/>
        </xdr:cNvPr>
        <xdr:cNvSpPr/>
      </xdr:nvSpPr>
      <xdr:spPr>
        <a:xfrm>
          <a:off x="154843" y="1181100"/>
          <a:ext cx="1990725" cy="353648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0">
              <a:solidFill>
                <a:schemeClr val="bg2">
                  <a:lumMod val="90000"/>
                </a:schemeClr>
              </a:solidFill>
            </a:rPr>
            <a:t>February</a:t>
          </a:r>
        </a:p>
      </xdr:txBody>
    </xdr:sp>
    <xdr:clientData/>
  </xdr:twoCellAnchor>
  <xdr:twoCellAnchor>
    <xdr:from>
      <xdr:col>0</xdr:col>
      <xdr:colOff>149469</xdr:colOff>
      <xdr:row>12</xdr:row>
      <xdr:rowOff>14899</xdr:rowOff>
    </xdr:from>
    <xdr:to>
      <xdr:col>3</xdr:col>
      <xdr:colOff>311394</xdr:colOff>
      <xdr:row>13</xdr:row>
      <xdr:rowOff>176824</xdr:rowOff>
    </xdr:to>
    <xdr:sp macro="" textlink="">
      <xdr:nvSpPr>
        <xdr:cNvPr id="10" name="Rounded Rectangle 9">
          <a:hlinkClick xmlns:r="http://schemas.openxmlformats.org/officeDocument/2006/relationships" r:id="rId7"/>
        </xdr:cNvPr>
        <xdr:cNvSpPr/>
      </xdr:nvSpPr>
      <xdr:spPr>
        <a:xfrm>
          <a:off x="149469" y="2377099"/>
          <a:ext cx="1990725" cy="352425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0">
              <a:solidFill>
                <a:schemeClr val="bg2">
                  <a:lumMod val="90000"/>
                </a:schemeClr>
              </a:solidFill>
            </a:rPr>
            <a:t>May</a:t>
          </a:r>
        </a:p>
      </xdr:txBody>
    </xdr:sp>
    <xdr:clientData/>
  </xdr:twoCellAnchor>
  <xdr:twoCellAnchor>
    <xdr:from>
      <xdr:col>0</xdr:col>
      <xdr:colOff>153622</xdr:colOff>
      <xdr:row>14</xdr:row>
      <xdr:rowOff>36635</xdr:rowOff>
    </xdr:from>
    <xdr:to>
      <xdr:col>3</xdr:col>
      <xdr:colOff>315547</xdr:colOff>
      <xdr:row>16</xdr:row>
      <xdr:rowOff>732</xdr:rowOff>
    </xdr:to>
    <xdr:sp macro="" textlink="">
      <xdr:nvSpPr>
        <xdr:cNvPr id="11" name="Rounded Rectangle 10">
          <a:hlinkClick xmlns:r="http://schemas.openxmlformats.org/officeDocument/2006/relationships" r:id="rId8"/>
        </xdr:cNvPr>
        <xdr:cNvSpPr/>
      </xdr:nvSpPr>
      <xdr:spPr>
        <a:xfrm>
          <a:off x="153622" y="2779835"/>
          <a:ext cx="1990725" cy="345097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0">
              <a:solidFill>
                <a:schemeClr val="bg2">
                  <a:lumMod val="90000"/>
                </a:schemeClr>
              </a:solidFill>
            </a:rPr>
            <a:t>June</a:t>
          </a:r>
        </a:p>
      </xdr:txBody>
    </xdr:sp>
    <xdr:clientData/>
  </xdr:twoCellAnchor>
  <xdr:twoCellAnchor>
    <xdr:from>
      <xdr:col>0</xdr:col>
      <xdr:colOff>144096</xdr:colOff>
      <xdr:row>20</xdr:row>
      <xdr:rowOff>59838</xdr:rowOff>
    </xdr:from>
    <xdr:to>
      <xdr:col>3</xdr:col>
      <xdr:colOff>306021</xdr:colOff>
      <xdr:row>22</xdr:row>
      <xdr:rowOff>8061</xdr:rowOff>
    </xdr:to>
    <xdr:sp macro="" textlink="">
      <xdr:nvSpPr>
        <xdr:cNvPr id="12" name="Rounded Rectangle 11">
          <a:hlinkClick xmlns:r="http://schemas.openxmlformats.org/officeDocument/2006/relationships" r:id="rId9"/>
        </xdr:cNvPr>
        <xdr:cNvSpPr/>
      </xdr:nvSpPr>
      <xdr:spPr>
        <a:xfrm>
          <a:off x="144096" y="3946038"/>
          <a:ext cx="1990725" cy="329223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0">
              <a:solidFill>
                <a:schemeClr val="bg2">
                  <a:lumMod val="90000"/>
                </a:schemeClr>
              </a:solidFill>
            </a:rPr>
            <a:t>September</a:t>
          </a:r>
        </a:p>
      </xdr:txBody>
    </xdr:sp>
    <xdr:clientData/>
  </xdr:twoCellAnchor>
  <xdr:twoCellAnchor>
    <xdr:from>
      <xdr:col>0</xdr:col>
      <xdr:colOff>145561</xdr:colOff>
      <xdr:row>22</xdr:row>
      <xdr:rowOff>54462</xdr:rowOff>
    </xdr:from>
    <xdr:to>
      <xdr:col>3</xdr:col>
      <xdr:colOff>307486</xdr:colOff>
      <xdr:row>24</xdr:row>
      <xdr:rowOff>9280</xdr:rowOff>
    </xdr:to>
    <xdr:sp macro="" textlink="">
      <xdr:nvSpPr>
        <xdr:cNvPr id="13" name="Rounded Rectangle 12">
          <a:hlinkClick xmlns:r="http://schemas.openxmlformats.org/officeDocument/2006/relationships" r:id="rId10"/>
        </xdr:cNvPr>
        <xdr:cNvSpPr/>
      </xdr:nvSpPr>
      <xdr:spPr>
        <a:xfrm>
          <a:off x="145561" y="4321662"/>
          <a:ext cx="1990725" cy="335818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0">
              <a:solidFill>
                <a:schemeClr val="bg2">
                  <a:lumMod val="90000"/>
                </a:schemeClr>
              </a:solidFill>
            </a:rPr>
            <a:t>October</a:t>
          </a:r>
        </a:p>
      </xdr:txBody>
    </xdr:sp>
    <xdr:clientData/>
  </xdr:twoCellAnchor>
  <xdr:twoCellAnchor>
    <xdr:from>
      <xdr:col>0</xdr:col>
      <xdr:colOff>160459</xdr:colOff>
      <xdr:row>24</xdr:row>
      <xdr:rowOff>64965</xdr:rowOff>
    </xdr:from>
    <xdr:to>
      <xdr:col>3</xdr:col>
      <xdr:colOff>322384</xdr:colOff>
      <xdr:row>26</xdr:row>
      <xdr:rowOff>25645</xdr:rowOff>
    </xdr:to>
    <xdr:sp macro="" textlink="">
      <xdr:nvSpPr>
        <xdr:cNvPr id="14" name="Rounded Rectangle 13">
          <a:hlinkClick xmlns:r="http://schemas.openxmlformats.org/officeDocument/2006/relationships" r:id="rId11"/>
        </xdr:cNvPr>
        <xdr:cNvSpPr/>
      </xdr:nvSpPr>
      <xdr:spPr>
        <a:xfrm>
          <a:off x="160459" y="4713165"/>
          <a:ext cx="1990725" cy="351205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0">
              <a:solidFill>
                <a:schemeClr val="bg2">
                  <a:lumMod val="90000"/>
                </a:schemeClr>
              </a:solidFill>
            </a:rPr>
            <a:t>November</a:t>
          </a:r>
        </a:p>
      </xdr:txBody>
    </xdr:sp>
    <xdr:clientData/>
  </xdr:twoCellAnchor>
  <xdr:twoCellAnchor>
    <xdr:from>
      <xdr:col>0</xdr:col>
      <xdr:colOff>155086</xdr:colOff>
      <xdr:row>26</xdr:row>
      <xdr:rowOff>70583</xdr:rowOff>
    </xdr:from>
    <xdr:to>
      <xdr:col>3</xdr:col>
      <xdr:colOff>317011</xdr:colOff>
      <xdr:row>28</xdr:row>
      <xdr:rowOff>57150</xdr:rowOff>
    </xdr:to>
    <xdr:sp macro="" textlink="">
      <xdr:nvSpPr>
        <xdr:cNvPr id="15" name="Rounded Rectangle 14">
          <a:hlinkClick xmlns:r="http://schemas.openxmlformats.org/officeDocument/2006/relationships" r:id="rId12"/>
        </xdr:cNvPr>
        <xdr:cNvSpPr/>
      </xdr:nvSpPr>
      <xdr:spPr>
        <a:xfrm>
          <a:off x="155086" y="5109308"/>
          <a:ext cx="1990725" cy="367567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0">
              <a:solidFill>
                <a:schemeClr val="bg2">
                  <a:lumMod val="90000"/>
                </a:schemeClr>
              </a:solidFill>
            </a:rPr>
            <a:t>December</a:t>
          </a:r>
        </a:p>
      </xdr:txBody>
    </xdr:sp>
    <xdr:clientData/>
  </xdr:twoCellAnchor>
  <xdr:twoCellAnchor>
    <xdr:from>
      <xdr:col>41</xdr:col>
      <xdr:colOff>24741</xdr:colOff>
      <xdr:row>0</xdr:row>
      <xdr:rowOff>12370</xdr:rowOff>
    </xdr:from>
    <xdr:to>
      <xdr:col>57</xdr:col>
      <xdr:colOff>148442</xdr:colOff>
      <xdr:row>3</xdr:row>
      <xdr:rowOff>0</xdr:rowOff>
    </xdr:to>
    <xdr:sp macro="" textlink="">
      <xdr:nvSpPr>
        <xdr:cNvPr id="16" name="Rectangle 15"/>
        <xdr:cNvSpPr/>
      </xdr:nvSpPr>
      <xdr:spPr>
        <a:xfrm>
          <a:off x="16760166" y="12370"/>
          <a:ext cx="13372976" cy="559130"/>
        </a:xfrm>
        <a:prstGeom prst="rect">
          <a:avLst/>
        </a:prstGeom>
        <a:solidFill>
          <a:srgbClr val="FF9900"/>
        </a:solidFill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3200" b="1">
              <a:solidFill>
                <a:schemeClr val="tx1"/>
              </a:solidFill>
            </a:rPr>
            <a:t>MONTHLY </a:t>
          </a:r>
          <a:r>
            <a:rPr lang="en-US" sz="3600" b="1">
              <a:solidFill>
                <a:schemeClr val="tx1"/>
              </a:solidFill>
            </a:rPr>
            <a:t>REPORT</a:t>
          </a:r>
        </a:p>
      </xdr:txBody>
    </xdr:sp>
    <xdr:clientData/>
  </xdr:twoCellAnchor>
  <xdr:twoCellAnchor>
    <xdr:from>
      <xdr:col>7</xdr:col>
      <xdr:colOff>371468</xdr:colOff>
      <xdr:row>0</xdr:row>
      <xdr:rowOff>142874</xdr:rowOff>
    </xdr:from>
    <xdr:to>
      <xdr:col>8</xdr:col>
      <xdr:colOff>293804</xdr:colOff>
      <xdr:row>2</xdr:row>
      <xdr:rowOff>87187</xdr:rowOff>
    </xdr:to>
    <xdr:sp macro="" textlink="$K$4">
      <xdr:nvSpPr>
        <xdr:cNvPr id="17" name="TextBox 16"/>
        <xdr:cNvSpPr txBox="1"/>
      </xdr:nvSpPr>
      <xdr:spPr>
        <a:xfrm>
          <a:off x="4810118" y="142874"/>
          <a:ext cx="1055811" cy="3253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FDEDC129-0A7F-4630-BA04-D6C866EC8672}" type="TxLink">
            <a:rPr lang="en-US" sz="1600" b="1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31-Aug-25</a:t>
          </a:fld>
          <a:endParaRPr lang="en-US" sz="1600" b="1"/>
        </a:p>
      </xdr:txBody>
    </xdr:sp>
    <xdr:clientData/>
  </xdr:twoCellAnchor>
  <xdr:twoCellAnchor>
    <xdr:from>
      <xdr:col>2</xdr:col>
      <xdr:colOff>600209</xdr:colOff>
      <xdr:row>0</xdr:row>
      <xdr:rowOff>142385</xdr:rowOff>
    </xdr:from>
    <xdr:to>
      <xdr:col>4</xdr:col>
      <xdr:colOff>457200</xdr:colOff>
      <xdr:row>2</xdr:row>
      <xdr:rowOff>81328</xdr:rowOff>
    </xdr:to>
    <xdr:sp macro="" textlink="">
      <xdr:nvSpPr>
        <xdr:cNvPr id="18" name="TextBox 17"/>
        <xdr:cNvSpPr txBox="1"/>
      </xdr:nvSpPr>
      <xdr:spPr>
        <a:xfrm>
          <a:off x="1819409" y="142385"/>
          <a:ext cx="1076191" cy="319943"/>
        </a:xfrm>
        <a:prstGeom prst="rect">
          <a:avLst/>
        </a:prstGeom>
        <a:solidFill>
          <a:srgbClr val="FF99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000" b="1"/>
            <a:t>From</a:t>
          </a:r>
          <a:endParaRPr lang="en-US" sz="1100" b="1"/>
        </a:p>
      </xdr:txBody>
    </xdr:sp>
    <xdr:clientData/>
  </xdr:twoCellAnchor>
  <xdr:twoCellAnchor>
    <xdr:from>
      <xdr:col>4</xdr:col>
      <xdr:colOff>465257</xdr:colOff>
      <xdr:row>0</xdr:row>
      <xdr:rowOff>142385</xdr:rowOff>
    </xdr:from>
    <xdr:to>
      <xdr:col>6</xdr:col>
      <xdr:colOff>369029</xdr:colOff>
      <xdr:row>2</xdr:row>
      <xdr:rowOff>81326</xdr:rowOff>
    </xdr:to>
    <xdr:sp macro="" textlink="$H$4">
      <xdr:nvSpPr>
        <xdr:cNvPr id="19" name="TextBox 18"/>
        <xdr:cNvSpPr txBox="1"/>
      </xdr:nvSpPr>
      <xdr:spPr>
        <a:xfrm>
          <a:off x="2903657" y="142385"/>
          <a:ext cx="1122972" cy="31994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3786EEC2-464A-469E-BA84-9467F94783BA}" type="TxLink">
            <a:rPr lang="en-US" sz="1600" b="1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01-Aug-25</a:t>
          </a:fld>
          <a:endParaRPr lang="en-US" sz="2000" b="1"/>
        </a:p>
      </xdr:txBody>
    </xdr:sp>
    <xdr:clientData/>
  </xdr:twoCellAnchor>
  <xdr:twoCellAnchor>
    <xdr:from>
      <xdr:col>6</xdr:col>
      <xdr:colOff>516607</xdr:colOff>
      <xdr:row>0</xdr:row>
      <xdr:rowOff>142875</xdr:rowOff>
    </xdr:from>
    <xdr:to>
      <xdr:col>7</xdr:col>
      <xdr:colOff>368120</xdr:colOff>
      <xdr:row>2</xdr:row>
      <xdr:rowOff>81818</xdr:rowOff>
    </xdr:to>
    <xdr:sp macro="" textlink="">
      <xdr:nvSpPr>
        <xdr:cNvPr id="20" name="TextBox 19"/>
        <xdr:cNvSpPr txBox="1"/>
      </xdr:nvSpPr>
      <xdr:spPr>
        <a:xfrm>
          <a:off x="4174207" y="142875"/>
          <a:ext cx="632563" cy="319943"/>
        </a:xfrm>
        <a:prstGeom prst="rect">
          <a:avLst/>
        </a:prstGeom>
        <a:solidFill>
          <a:srgbClr val="FF99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000" b="1"/>
            <a:t>To</a:t>
          </a:r>
        </a:p>
      </xdr:txBody>
    </xdr:sp>
    <xdr:clientData/>
  </xdr:twoCellAnchor>
  <xdr:twoCellAnchor>
    <xdr:from>
      <xdr:col>9</xdr:col>
      <xdr:colOff>104773</xdr:colOff>
      <xdr:row>0</xdr:row>
      <xdr:rowOff>95251</xdr:rowOff>
    </xdr:from>
    <xdr:to>
      <xdr:col>28</xdr:col>
      <xdr:colOff>214312</xdr:colOff>
      <xdr:row>2</xdr:row>
      <xdr:rowOff>133351</xdr:rowOff>
    </xdr:to>
    <xdr:sp macro="" textlink="">
      <xdr:nvSpPr>
        <xdr:cNvPr id="21" name="Rectangle 20"/>
        <xdr:cNvSpPr/>
      </xdr:nvSpPr>
      <xdr:spPr>
        <a:xfrm>
          <a:off x="6486523" y="95251"/>
          <a:ext cx="6312695" cy="41910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110465</xdr:colOff>
      <xdr:row>1</xdr:row>
      <xdr:rowOff>12369</xdr:rowOff>
    </xdr:from>
    <xdr:to>
      <xdr:col>19</xdr:col>
      <xdr:colOff>148441</xdr:colOff>
      <xdr:row>2</xdr:row>
      <xdr:rowOff>23872</xdr:rowOff>
    </xdr:to>
    <xdr:sp macro="" textlink="">
      <xdr:nvSpPr>
        <xdr:cNvPr id="22" name="TextBox 21"/>
        <xdr:cNvSpPr txBox="1"/>
      </xdr:nvSpPr>
      <xdr:spPr>
        <a:xfrm>
          <a:off x="6644615" y="202869"/>
          <a:ext cx="3028826" cy="202003"/>
        </a:xfrm>
        <a:prstGeom prst="rect">
          <a:avLst/>
        </a:prstGeom>
        <a:solidFill>
          <a:schemeClr val="bg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800" b="1"/>
            <a:t>Dashboard For</a:t>
          </a:r>
          <a:r>
            <a:rPr lang="en-US" sz="1800" b="1" baseline="0"/>
            <a:t> The Month Of    </a:t>
          </a:r>
          <a:endParaRPr lang="en-US" sz="1800" b="1"/>
        </a:p>
      </xdr:txBody>
    </xdr:sp>
    <xdr:clientData/>
  </xdr:twoCellAnchor>
  <xdr:twoCellAnchor editAs="oneCell">
    <xdr:from>
      <xdr:col>9</xdr:col>
      <xdr:colOff>107128</xdr:colOff>
      <xdr:row>0</xdr:row>
      <xdr:rowOff>133530</xdr:rowOff>
    </xdr:from>
    <xdr:to>
      <xdr:col>10</xdr:col>
      <xdr:colOff>79043</xdr:colOff>
      <xdr:row>2</xdr:row>
      <xdr:rowOff>114536</xdr:rowOff>
    </xdr:to>
    <xdr:pic>
      <xdr:nvPicPr>
        <xdr:cNvPr id="23" name="Picture 22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 rot="5158119">
          <a:off x="6270020" y="152363"/>
          <a:ext cx="362006" cy="324340"/>
        </a:xfrm>
        <a:prstGeom prst="rect">
          <a:avLst/>
        </a:prstGeom>
      </xdr:spPr>
    </xdr:pic>
    <xdr:clientData/>
  </xdr:twoCellAnchor>
  <xdr:twoCellAnchor>
    <xdr:from>
      <xdr:col>19</xdr:col>
      <xdr:colOff>105763</xdr:colOff>
      <xdr:row>0</xdr:row>
      <xdr:rowOff>133813</xdr:rowOff>
    </xdr:from>
    <xdr:to>
      <xdr:col>24</xdr:col>
      <xdr:colOff>105763</xdr:colOff>
      <xdr:row>2</xdr:row>
      <xdr:rowOff>86189</xdr:rowOff>
    </xdr:to>
    <xdr:sp macro="" textlink="$O$4">
      <xdr:nvSpPr>
        <xdr:cNvPr id="24" name="TextBox 23"/>
        <xdr:cNvSpPr txBox="1"/>
      </xdr:nvSpPr>
      <xdr:spPr>
        <a:xfrm>
          <a:off x="9845076" y="133813"/>
          <a:ext cx="1595437" cy="333376"/>
        </a:xfrm>
        <a:prstGeom prst="rect">
          <a:avLst/>
        </a:prstGeom>
        <a:solidFill>
          <a:srgbClr val="FF99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34BAD96D-33B3-407C-843D-30EA8E6C9ECE}" type="TxLink">
            <a:rPr lang="en-US" sz="2400" b="1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August</a:t>
          </a:fld>
          <a:endParaRPr lang="en-US" sz="2400" b="1"/>
        </a:p>
      </xdr:txBody>
    </xdr:sp>
    <xdr:clientData/>
  </xdr:twoCellAnchor>
  <xdr:twoCellAnchor>
    <xdr:from>
      <xdr:col>29</xdr:col>
      <xdr:colOff>52336</xdr:colOff>
      <xdr:row>0</xdr:row>
      <xdr:rowOff>167472</xdr:rowOff>
    </xdr:from>
    <xdr:to>
      <xdr:col>30</xdr:col>
      <xdr:colOff>73270</xdr:colOff>
      <xdr:row>2</xdr:row>
      <xdr:rowOff>52335</xdr:rowOff>
    </xdr:to>
    <xdr:sp macro="" textlink="">
      <xdr:nvSpPr>
        <xdr:cNvPr id="25" name="TextBox 24"/>
        <xdr:cNvSpPr txBox="1"/>
      </xdr:nvSpPr>
      <xdr:spPr>
        <a:xfrm>
          <a:off x="12749161" y="167472"/>
          <a:ext cx="306684" cy="26586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29</xdr:col>
      <xdr:colOff>167471</xdr:colOff>
      <xdr:row>1</xdr:row>
      <xdr:rowOff>62802</xdr:rowOff>
    </xdr:from>
    <xdr:to>
      <xdr:col>30</xdr:col>
      <xdr:colOff>20933</xdr:colOff>
      <xdr:row>1</xdr:row>
      <xdr:rowOff>167472</xdr:rowOff>
    </xdr:to>
    <xdr:sp macro="" textlink="">
      <xdr:nvSpPr>
        <xdr:cNvPr id="26" name="Flowchart: Connector 25"/>
        <xdr:cNvSpPr/>
      </xdr:nvSpPr>
      <xdr:spPr>
        <a:xfrm>
          <a:off x="12864296" y="253302"/>
          <a:ext cx="139212" cy="104670"/>
        </a:xfrm>
        <a:prstGeom prst="flowChartConnector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noFill/>
          </a:endParaRPr>
        </a:p>
      </xdr:txBody>
    </xdr:sp>
    <xdr:clientData/>
  </xdr:twoCellAnchor>
  <xdr:twoCellAnchor>
    <xdr:from>
      <xdr:col>33</xdr:col>
      <xdr:colOff>136071</xdr:colOff>
      <xdr:row>0</xdr:row>
      <xdr:rowOff>167473</xdr:rowOff>
    </xdr:from>
    <xdr:to>
      <xdr:col>34</xdr:col>
      <xdr:colOff>52334</xdr:colOff>
      <xdr:row>2</xdr:row>
      <xdr:rowOff>73270</xdr:rowOff>
    </xdr:to>
    <xdr:sp macro="" textlink="">
      <xdr:nvSpPr>
        <xdr:cNvPr id="27" name="TextBox 26"/>
        <xdr:cNvSpPr txBox="1"/>
      </xdr:nvSpPr>
      <xdr:spPr>
        <a:xfrm>
          <a:off x="14080671" y="167473"/>
          <a:ext cx="202013" cy="28679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33</xdr:col>
      <xdr:colOff>141933</xdr:colOff>
      <xdr:row>1</xdr:row>
      <xdr:rowOff>79131</xdr:rowOff>
    </xdr:from>
    <xdr:to>
      <xdr:col>33</xdr:col>
      <xdr:colOff>278005</xdr:colOff>
      <xdr:row>1</xdr:row>
      <xdr:rowOff>183801</xdr:rowOff>
    </xdr:to>
    <xdr:sp macro="" textlink="">
      <xdr:nvSpPr>
        <xdr:cNvPr id="28" name="Flowchart: Connector 27"/>
        <xdr:cNvSpPr/>
      </xdr:nvSpPr>
      <xdr:spPr>
        <a:xfrm>
          <a:off x="14086533" y="269631"/>
          <a:ext cx="136072" cy="104670"/>
        </a:xfrm>
        <a:prstGeom prst="flowChartConnector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noFill/>
          </a:endParaRPr>
        </a:p>
      </xdr:txBody>
    </xdr:sp>
    <xdr:clientData/>
  </xdr:twoCellAnchor>
  <xdr:twoCellAnchor>
    <xdr:from>
      <xdr:col>37</xdr:col>
      <xdr:colOff>83734</xdr:colOff>
      <xdr:row>0</xdr:row>
      <xdr:rowOff>147795</xdr:rowOff>
    </xdr:from>
    <xdr:to>
      <xdr:col>37</xdr:col>
      <xdr:colOff>272141</xdr:colOff>
      <xdr:row>2</xdr:row>
      <xdr:rowOff>41869</xdr:rowOff>
    </xdr:to>
    <xdr:sp macro="" textlink="">
      <xdr:nvSpPr>
        <xdr:cNvPr id="29" name="TextBox 28"/>
        <xdr:cNvSpPr txBox="1"/>
      </xdr:nvSpPr>
      <xdr:spPr>
        <a:xfrm>
          <a:off x="15228484" y="147795"/>
          <a:ext cx="188407" cy="27507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37</xdr:col>
      <xdr:colOff>116393</xdr:colOff>
      <xdr:row>1</xdr:row>
      <xdr:rowOff>84993</xdr:rowOff>
    </xdr:from>
    <xdr:to>
      <xdr:col>37</xdr:col>
      <xdr:colOff>252465</xdr:colOff>
      <xdr:row>2</xdr:row>
      <xdr:rowOff>1257</xdr:rowOff>
    </xdr:to>
    <xdr:sp macro="" textlink="">
      <xdr:nvSpPr>
        <xdr:cNvPr id="30" name="Flowchart: Connector 29"/>
        <xdr:cNvSpPr/>
      </xdr:nvSpPr>
      <xdr:spPr>
        <a:xfrm>
          <a:off x="15261143" y="275493"/>
          <a:ext cx="136072" cy="106764"/>
        </a:xfrm>
        <a:prstGeom prst="flowChartConnector">
          <a:avLst/>
        </a:prstGeom>
        <a:solidFill>
          <a:srgbClr val="FFFF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noFill/>
          </a:endParaRPr>
        </a:p>
      </xdr:txBody>
    </xdr:sp>
    <xdr:clientData/>
  </xdr:twoCellAnchor>
  <xdr:twoCellAnchor>
    <xdr:from>
      <xdr:col>29</xdr:col>
      <xdr:colOff>272144</xdr:colOff>
      <xdr:row>0</xdr:row>
      <xdr:rowOff>125604</xdr:rowOff>
    </xdr:from>
    <xdr:to>
      <xdr:col>33</xdr:col>
      <xdr:colOff>41869</xdr:colOff>
      <xdr:row>2</xdr:row>
      <xdr:rowOff>73269</xdr:rowOff>
    </xdr:to>
    <xdr:sp macro="" textlink="">
      <xdr:nvSpPr>
        <xdr:cNvPr id="31" name="TextBox 30"/>
        <xdr:cNvSpPr txBox="1"/>
      </xdr:nvSpPr>
      <xdr:spPr>
        <a:xfrm>
          <a:off x="12968969" y="125604"/>
          <a:ext cx="1017500" cy="32866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000" b="1">
              <a:solidFill>
                <a:schemeClr val="bg1"/>
              </a:solidFill>
            </a:rPr>
            <a:t>Present</a:t>
          </a:r>
        </a:p>
      </xdr:txBody>
    </xdr:sp>
    <xdr:clientData/>
  </xdr:twoCellAnchor>
  <xdr:twoCellAnchor>
    <xdr:from>
      <xdr:col>33</xdr:col>
      <xdr:colOff>251209</xdr:colOff>
      <xdr:row>0</xdr:row>
      <xdr:rowOff>157006</xdr:rowOff>
    </xdr:from>
    <xdr:to>
      <xdr:col>36</xdr:col>
      <xdr:colOff>272142</xdr:colOff>
      <xdr:row>2</xdr:row>
      <xdr:rowOff>73272</xdr:rowOff>
    </xdr:to>
    <xdr:sp macro="" textlink="">
      <xdr:nvSpPr>
        <xdr:cNvPr id="32" name="TextBox 31"/>
        <xdr:cNvSpPr txBox="1"/>
      </xdr:nvSpPr>
      <xdr:spPr>
        <a:xfrm>
          <a:off x="14195809" y="157006"/>
          <a:ext cx="935333" cy="29726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000" b="1">
              <a:solidFill>
                <a:schemeClr val="bg1"/>
              </a:solidFill>
            </a:rPr>
            <a:t>Absent</a:t>
          </a:r>
          <a:endParaRPr lang="en-US" sz="1600" b="1">
            <a:solidFill>
              <a:schemeClr val="bg1"/>
            </a:solidFill>
          </a:endParaRPr>
        </a:p>
      </xdr:txBody>
    </xdr:sp>
    <xdr:clientData/>
  </xdr:twoCellAnchor>
  <xdr:twoCellAnchor>
    <xdr:from>
      <xdr:col>37</xdr:col>
      <xdr:colOff>198873</xdr:colOff>
      <xdr:row>0</xdr:row>
      <xdr:rowOff>146539</xdr:rowOff>
    </xdr:from>
    <xdr:to>
      <xdr:col>40</xdr:col>
      <xdr:colOff>20934</xdr:colOff>
      <xdr:row>2</xdr:row>
      <xdr:rowOff>104671</xdr:rowOff>
    </xdr:to>
    <xdr:sp macro="" textlink="">
      <xdr:nvSpPr>
        <xdr:cNvPr id="33" name="TextBox 32"/>
        <xdr:cNvSpPr txBox="1"/>
      </xdr:nvSpPr>
      <xdr:spPr>
        <a:xfrm>
          <a:off x="15343623" y="146539"/>
          <a:ext cx="803136" cy="33913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000" b="1">
              <a:solidFill>
                <a:schemeClr val="bg1"/>
              </a:solidFill>
            </a:rPr>
            <a:t>Leave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35718</xdr:colOff>
      <xdr:row>0</xdr:row>
      <xdr:rowOff>0</xdr:rowOff>
    </xdr:from>
    <xdr:to>
      <xdr:col>3</xdr:col>
      <xdr:colOff>19050</xdr:colOff>
      <xdr:row>28</xdr:row>
      <xdr:rowOff>130969</xdr:rowOff>
    </xdr:to>
    <xdr:sp macro="" textlink="">
      <xdr:nvSpPr>
        <xdr:cNvPr id="2" name="Rectangle 1"/>
        <xdr:cNvSpPr/>
      </xdr:nvSpPr>
      <xdr:spPr>
        <a:xfrm>
          <a:off x="35718" y="0"/>
          <a:ext cx="1804988" cy="5560219"/>
        </a:xfrm>
        <a:prstGeom prst="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b="1"/>
        </a:p>
      </xdr:txBody>
    </xdr:sp>
    <xdr:clientData/>
  </xdr:twoCellAnchor>
  <xdr:twoCellAnchor>
    <xdr:from>
      <xdr:col>2</xdr:col>
      <xdr:colOff>492672</xdr:colOff>
      <xdr:row>0</xdr:row>
      <xdr:rowOff>10467</xdr:rowOff>
    </xdr:from>
    <xdr:to>
      <xdr:col>39</xdr:col>
      <xdr:colOff>464344</xdr:colOff>
      <xdr:row>3</xdr:row>
      <xdr:rowOff>34889</xdr:rowOff>
    </xdr:to>
    <xdr:sp macro="" textlink="">
      <xdr:nvSpPr>
        <xdr:cNvPr id="3" name="Rectangle 2"/>
        <xdr:cNvSpPr/>
      </xdr:nvSpPr>
      <xdr:spPr>
        <a:xfrm>
          <a:off x="1707110" y="10467"/>
          <a:ext cx="14485390" cy="595922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140494</xdr:colOff>
      <xdr:row>3</xdr:row>
      <xdr:rowOff>173526</xdr:rowOff>
    </xdr:from>
    <xdr:to>
      <xdr:col>3</xdr:col>
      <xdr:colOff>302419</xdr:colOff>
      <xdr:row>5</xdr:row>
      <xdr:rowOff>164002</xdr:rowOff>
    </xdr:to>
    <xdr:sp macro="" textlink="">
      <xdr:nvSpPr>
        <xdr:cNvPr id="4" name="Rounded Rectangle 3">
          <a:hlinkClick xmlns:r="http://schemas.openxmlformats.org/officeDocument/2006/relationships" r:id="rId1"/>
        </xdr:cNvPr>
        <xdr:cNvSpPr/>
      </xdr:nvSpPr>
      <xdr:spPr>
        <a:xfrm>
          <a:off x="140494" y="745026"/>
          <a:ext cx="1983581" cy="395289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0">
              <a:solidFill>
                <a:schemeClr val="bg2">
                  <a:lumMod val="90000"/>
                </a:schemeClr>
              </a:solidFill>
              <a:latin typeface="+mn-lt"/>
              <a:ea typeface="+mn-ea"/>
              <a:cs typeface="+mn-cs"/>
            </a:rPr>
            <a:t>January</a:t>
          </a:r>
        </a:p>
      </xdr:txBody>
    </xdr:sp>
    <xdr:clientData/>
  </xdr:twoCellAnchor>
  <xdr:twoCellAnchor>
    <xdr:from>
      <xdr:col>0</xdr:col>
      <xdr:colOff>150935</xdr:colOff>
      <xdr:row>16</xdr:row>
      <xdr:rowOff>48846</xdr:rowOff>
    </xdr:from>
    <xdr:to>
      <xdr:col>3</xdr:col>
      <xdr:colOff>312860</xdr:colOff>
      <xdr:row>17</xdr:row>
      <xdr:rowOff>186105</xdr:rowOff>
    </xdr:to>
    <xdr:sp macro="" textlink="">
      <xdr:nvSpPr>
        <xdr:cNvPr id="5" name="Rounded Rectangle 4">
          <a:hlinkClick xmlns:r="http://schemas.openxmlformats.org/officeDocument/2006/relationships" r:id="rId2"/>
        </xdr:cNvPr>
        <xdr:cNvSpPr/>
      </xdr:nvSpPr>
      <xdr:spPr>
        <a:xfrm>
          <a:off x="150935" y="3173046"/>
          <a:ext cx="1990725" cy="327759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0">
              <a:solidFill>
                <a:schemeClr val="bg2">
                  <a:lumMod val="90000"/>
                </a:schemeClr>
              </a:solidFill>
            </a:rPr>
            <a:t>July</a:t>
          </a:r>
        </a:p>
      </xdr:txBody>
    </xdr:sp>
    <xdr:clientData/>
  </xdr:twoCellAnchor>
  <xdr:twoCellAnchor>
    <xdr:from>
      <xdr:col>0</xdr:col>
      <xdr:colOff>146783</xdr:colOff>
      <xdr:row>18</xdr:row>
      <xdr:rowOff>58371</xdr:rowOff>
    </xdr:from>
    <xdr:to>
      <xdr:col>3</xdr:col>
      <xdr:colOff>308708</xdr:colOff>
      <xdr:row>20</xdr:row>
      <xdr:rowOff>3419</xdr:rowOff>
    </xdr:to>
    <xdr:sp macro="" textlink="">
      <xdr:nvSpPr>
        <xdr:cNvPr id="6" name="Rounded Rectangle 5">
          <a:hlinkClick xmlns:r="http://schemas.openxmlformats.org/officeDocument/2006/relationships" r:id="rId3"/>
        </xdr:cNvPr>
        <xdr:cNvSpPr/>
      </xdr:nvSpPr>
      <xdr:spPr>
        <a:xfrm>
          <a:off x="146783" y="3563571"/>
          <a:ext cx="1990725" cy="326048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0">
              <a:solidFill>
                <a:schemeClr val="bg2">
                  <a:lumMod val="90000"/>
                </a:schemeClr>
              </a:solidFill>
            </a:rPr>
            <a:t>August</a:t>
          </a:r>
        </a:p>
      </xdr:txBody>
    </xdr:sp>
    <xdr:clientData/>
  </xdr:twoCellAnchor>
  <xdr:twoCellAnchor>
    <xdr:from>
      <xdr:col>0</xdr:col>
      <xdr:colOff>161682</xdr:colOff>
      <xdr:row>7</xdr:row>
      <xdr:rowOff>182197</xdr:rowOff>
    </xdr:from>
    <xdr:to>
      <xdr:col>3</xdr:col>
      <xdr:colOff>323607</xdr:colOff>
      <xdr:row>9</xdr:row>
      <xdr:rowOff>142875</xdr:rowOff>
    </xdr:to>
    <xdr:sp macro="" textlink="">
      <xdr:nvSpPr>
        <xdr:cNvPr id="7" name="Rounded Rectangle 6">
          <a:hlinkClick xmlns:r="http://schemas.openxmlformats.org/officeDocument/2006/relationships" r:id="rId4"/>
        </xdr:cNvPr>
        <xdr:cNvSpPr/>
      </xdr:nvSpPr>
      <xdr:spPr>
        <a:xfrm>
          <a:off x="161682" y="1591897"/>
          <a:ext cx="1990725" cy="341678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0">
              <a:solidFill>
                <a:schemeClr val="bg2">
                  <a:lumMod val="90000"/>
                </a:schemeClr>
              </a:solidFill>
            </a:rPr>
            <a:t>March</a:t>
          </a:r>
        </a:p>
      </xdr:txBody>
    </xdr:sp>
    <xdr:clientData/>
  </xdr:twoCellAnchor>
  <xdr:twoCellAnchor>
    <xdr:from>
      <xdr:col>0</xdr:col>
      <xdr:colOff>139944</xdr:colOff>
      <xdr:row>10</xdr:row>
      <xdr:rowOff>10745</xdr:rowOff>
    </xdr:from>
    <xdr:to>
      <xdr:col>3</xdr:col>
      <xdr:colOff>301869</xdr:colOff>
      <xdr:row>11</xdr:row>
      <xdr:rowOff>148003</xdr:rowOff>
    </xdr:to>
    <xdr:sp macro="" textlink="">
      <xdr:nvSpPr>
        <xdr:cNvPr id="8" name="Rounded Rectangle 7">
          <a:hlinkClick xmlns:r="http://schemas.openxmlformats.org/officeDocument/2006/relationships" r:id="rId5"/>
        </xdr:cNvPr>
        <xdr:cNvSpPr/>
      </xdr:nvSpPr>
      <xdr:spPr>
        <a:xfrm>
          <a:off x="139944" y="1991945"/>
          <a:ext cx="1990725" cy="327758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0">
              <a:solidFill>
                <a:schemeClr val="bg2">
                  <a:lumMod val="90000"/>
                </a:schemeClr>
              </a:solidFill>
              <a:latin typeface="+mn-lt"/>
              <a:ea typeface="+mn-ea"/>
              <a:cs typeface="+mn-cs"/>
            </a:rPr>
            <a:t>April</a:t>
          </a:r>
        </a:p>
      </xdr:txBody>
    </xdr:sp>
    <xdr:clientData/>
  </xdr:twoCellAnchor>
  <xdr:twoCellAnchor>
    <xdr:from>
      <xdr:col>0</xdr:col>
      <xdr:colOff>154843</xdr:colOff>
      <xdr:row>5</xdr:row>
      <xdr:rowOff>209550</xdr:rowOff>
    </xdr:from>
    <xdr:to>
      <xdr:col>3</xdr:col>
      <xdr:colOff>316768</xdr:colOff>
      <xdr:row>7</xdr:row>
      <xdr:rowOff>125048</xdr:rowOff>
    </xdr:to>
    <xdr:sp macro="" textlink="">
      <xdr:nvSpPr>
        <xdr:cNvPr id="9" name="Rounded Rectangle 8">
          <a:hlinkClick xmlns:r="http://schemas.openxmlformats.org/officeDocument/2006/relationships" r:id="rId6"/>
        </xdr:cNvPr>
        <xdr:cNvSpPr/>
      </xdr:nvSpPr>
      <xdr:spPr>
        <a:xfrm>
          <a:off x="154843" y="1181100"/>
          <a:ext cx="1990725" cy="353648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0">
              <a:solidFill>
                <a:schemeClr val="bg2">
                  <a:lumMod val="90000"/>
                </a:schemeClr>
              </a:solidFill>
            </a:rPr>
            <a:t>February</a:t>
          </a:r>
        </a:p>
      </xdr:txBody>
    </xdr:sp>
    <xdr:clientData/>
  </xdr:twoCellAnchor>
  <xdr:twoCellAnchor>
    <xdr:from>
      <xdr:col>0</xdr:col>
      <xdr:colOff>149469</xdr:colOff>
      <xdr:row>12</xdr:row>
      <xdr:rowOff>14899</xdr:rowOff>
    </xdr:from>
    <xdr:to>
      <xdr:col>3</xdr:col>
      <xdr:colOff>311394</xdr:colOff>
      <xdr:row>13</xdr:row>
      <xdr:rowOff>176824</xdr:rowOff>
    </xdr:to>
    <xdr:sp macro="" textlink="">
      <xdr:nvSpPr>
        <xdr:cNvPr id="10" name="Rounded Rectangle 9">
          <a:hlinkClick xmlns:r="http://schemas.openxmlformats.org/officeDocument/2006/relationships" r:id="rId7"/>
        </xdr:cNvPr>
        <xdr:cNvSpPr/>
      </xdr:nvSpPr>
      <xdr:spPr>
        <a:xfrm>
          <a:off x="149469" y="2377099"/>
          <a:ext cx="1990725" cy="352425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0">
              <a:solidFill>
                <a:schemeClr val="bg2">
                  <a:lumMod val="90000"/>
                </a:schemeClr>
              </a:solidFill>
            </a:rPr>
            <a:t>May</a:t>
          </a:r>
        </a:p>
      </xdr:txBody>
    </xdr:sp>
    <xdr:clientData/>
  </xdr:twoCellAnchor>
  <xdr:twoCellAnchor>
    <xdr:from>
      <xdr:col>0</xdr:col>
      <xdr:colOff>153622</xdr:colOff>
      <xdr:row>14</xdr:row>
      <xdr:rowOff>36635</xdr:rowOff>
    </xdr:from>
    <xdr:to>
      <xdr:col>3</xdr:col>
      <xdr:colOff>315547</xdr:colOff>
      <xdr:row>16</xdr:row>
      <xdr:rowOff>732</xdr:rowOff>
    </xdr:to>
    <xdr:sp macro="" textlink="">
      <xdr:nvSpPr>
        <xdr:cNvPr id="11" name="Rounded Rectangle 10">
          <a:hlinkClick xmlns:r="http://schemas.openxmlformats.org/officeDocument/2006/relationships" r:id="rId8"/>
        </xdr:cNvPr>
        <xdr:cNvSpPr/>
      </xdr:nvSpPr>
      <xdr:spPr>
        <a:xfrm>
          <a:off x="153622" y="2779835"/>
          <a:ext cx="1990725" cy="345097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0">
              <a:solidFill>
                <a:schemeClr val="bg2">
                  <a:lumMod val="90000"/>
                </a:schemeClr>
              </a:solidFill>
            </a:rPr>
            <a:t>June</a:t>
          </a:r>
        </a:p>
      </xdr:txBody>
    </xdr:sp>
    <xdr:clientData/>
  </xdr:twoCellAnchor>
  <xdr:twoCellAnchor>
    <xdr:from>
      <xdr:col>0</xdr:col>
      <xdr:colOff>544146</xdr:colOff>
      <xdr:row>20</xdr:row>
      <xdr:rowOff>47932</xdr:rowOff>
    </xdr:from>
    <xdr:to>
      <xdr:col>4</xdr:col>
      <xdr:colOff>96471</xdr:colOff>
      <xdr:row>21</xdr:row>
      <xdr:rowOff>186655</xdr:rowOff>
    </xdr:to>
    <xdr:sp macro="" textlink="">
      <xdr:nvSpPr>
        <xdr:cNvPr id="12" name="Rounded Rectangle 11">
          <a:hlinkClick xmlns:r="http://schemas.openxmlformats.org/officeDocument/2006/relationships" r:id="rId9"/>
        </xdr:cNvPr>
        <xdr:cNvSpPr/>
      </xdr:nvSpPr>
      <xdr:spPr>
        <a:xfrm>
          <a:off x="544146" y="3934132"/>
          <a:ext cx="1990725" cy="329223"/>
        </a:xfrm>
        <a:prstGeom prst="roundRect">
          <a:avLst/>
        </a:prstGeom>
        <a:solidFill>
          <a:schemeClr val="bg1">
            <a:lumMod val="75000"/>
          </a:schemeClr>
        </a:solidFill>
        <a:ln>
          <a:solidFill>
            <a:schemeClr val="bg2">
              <a:lumMod val="9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 b="1">
              <a:solidFill>
                <a:schemeClr val="tx1"/>
              </a:solidFill>
              <a:latin typeface="+mn-lt"/>
              <a:ea typeface="+mn-ea"/>
              <a:cs typeface="+mn-cs"/>
            </a:rPr>
            <a:t>September</a:t>
          </a:r>
        </a:p>
      </xdr:txBody>
    </xdr:sp>
    <xdr:clientData/>
  </xdr:twoCellAnchor>
  <xdr:twoCellAnchor>
    <xdr:from>
      <xdr:col>0</xdr:col>
      <xdr:colOff>145561</xdr:colOff>
      <xdr:row>22</xdr:row>
      <xdr:rowOff>54462</xdr:rowOff>
    </xdr:from>
    <xdr:to>
      <xdr:col>3</xdr:col>
      <xdr:colOff>307486</xdr:colOff>
      <xdr:row>24</xdr:row>
      <xdr:rowOff>9280</xdr:rowOff>
    </xdr:to>
    <xdr:sp macro="" textlink="">
      <xdr:nvSpPr>
        <xdr:cNvPr id="13" name="Rounded Rectangle 12">
          <a:hlinkClick xmlns:r="http://schemas.openxmlformats.org/officeDocument/2006/relationships" r:id="rId10"/>
        </xdr:cNvPr>
        <xdr:cNvSpPr/>
      </xdr:nvSpPr>
      <xdr:spPr>
        <a:xfrm>
          <a:off x="145561" y="4321662"/>
          <a:ext cx="1990725" cy="335818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0">
              <a:solidFill>
                <a:schemeClr val="bg2">
                  <a:lumMod val="90000"/>
                </a:schemeClr>
              </a:solidFill>
            </a:rPr>
            <a:t>October</a:t>
          </a:r>
        </a:p>
      </xdr:txBody>
    </xdr:sp>
    <xdr:clientData/>
  </xdr:twoCellAnchor>
  <xdr:twoCellAnchor>
    <xdr:from>
      <xdr:col>0</xdr:col>
      <xdr:colOff>160459</xdr:colOff>
      <xdr:row>24</xdr:row>
      <xdr:rowOff>64965</xdr:rowOff>
    </xdr:from>
    <xdr:to>
      <xdr:col>3</xdr:col>
      <xdr:colOff>322384</xdr:colOff>
      <xdr:row>26</xdr:row>
      <xdr:rowOff>25645</xdr:rowOff>
    </xdr:to>
    <xdr:sp macro="" textlink="">
      <xdr:nvSpPr>
        <xdr:cNvPr id="14" name="Rounded Rectangle 13">
          <a:hlinkClick xmlns:r="http://schemas.openxmlformats.org/officeDocument/2006/relationships" r:id="rId11"/>
        </xdr:cNvPr>
        <xdr:cNvSpPr/>
      </xdr:nvSpPr>
      <xdr:spPr>
        <a:xfrm>
          <a:off x="160459" y="4713165"/>
          <a:ext cx="1990725" cy="351205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0">
              <a:solidFill>
                <a:schemeClr val="bg2">
                  <a:lumMod val="90000"/>
                </a:schemeClr>
              </a:solidFill>
            </a:rPr>
            <a:t>November</a:t>
          </a:r>
        </a:p>
      </xdr:txBody>
    </xdr:sp>
    <xdr:clientData/>
  </xdr:twoCellAnchor>
  <xdr:twoCellAnchor>
    <xdr:from>
      <xdr:col>0</xdr:col>
      <xdr:colOff>155086</xdr:colOff>
      <xdr:row>26</xdr:row>
      <xdr:rowOff>70583</xdr:rowOff>
    </xdr:from>
    <xdr:to>
      <xdr:col>3</xdr:col>
      <xdr:colOff>317011</xdr:colOff>
      <xdr:row>28</xdr:row>
      <xdr:rowOff>57150</xdr:rowOff>
    </xdr:to>
    <xdr:sp macro="" textlink="">
      <xdr:nvSpPr>
        <xdr:cNvPr id="15" name="Rounded Rectangle 14">
          <a:hlinkClick xmlns:r="http://schemas.openxmlformats.org/officeDocument/2006/relationships" r:id="rId12"/>
        </xdr:cNvPr>
        <xdr:cNvSpPr/>
      </xdr:nvSpPr>
      <xdr:spPr>
        <a:xfrm>
          <a:off x="155086" y="5109308"/>
          <a:ext cx="1990725" cy="367567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0">
              <a:solidFill>
                <a:schemeClr val="bg2">
                  <a:lumMod val="90000"/>
                </a:schemeClr>
              </a:solidFill>
            </a:rPr>
            <a:t>December</a:t>
          </a:r>
        </a:p>
      </xdr:txBody>
    </xdr:sp>
    <xdr:clientData/>
  </xdr:twoCellAnchor>
  <xdr:twoCellAnchor>
    <xdr:from>
      <xdr:col>40</xdr:col>
      <xdr:colOff>24741</xdr:colOff>
      <xdr:row>0</xdr:row>
      <xdr:rowOff>12370</xdr:rowOff>
    </xdr:from>
    <xdr:to>
      <xdr:col>56</xdr:col>
      <xdr:colOff>148442</xdr:colOff>
      <xdr:row>3</xdr:row>
      <xdr:rowOff>0</xdr:rowOff>
    </xdr:to>
    <xdr:sp macro="" textlink="">
      <xdr:nvSpPr>
        <xdr:cNvPr id="16" name="Rectangle 15"/>
        <xdr:cNvSpPr/>
      </xdr:nvSpPr>
      <xdr:spPr>
        <a:xfrm>
          <a:off x="16760166" y="12370"/>
          <a:ext cx="13372976" cy="559130"/>
        </a:xfrm>
        <a:prstGeom prst="rect">
          <a:avLst/>
        </a:prstGeom>
        <a:solidFill>
          <a:srgbClr val="FF9900"/>
        </a:solidFill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3200" b="1">
              <a:solidFill>
                <a:schemeClr val="tx1"/>
              </a:solidFill>
            </a:rPr>
            <a:t>MONTHLY </a:t>
          </a:r>
          <a:r>
            <a:rPr lang="en-US" sz="3600" b="1">
              <a:solidFill>
                <a:schemeClr val="tx1"/>
              </a:solidFill>
            </a:rPr>
            <a:t>REPORT</a:t>
          </a:r>
        </a:p>
      </xdr:txBody>
    </xdr:sp>
    <xdr:clientData/>
  </xdr:twoCellAnchor>
  <xdr:twoCellAnchor>
    <xdr:from>
      <xdr:col>7</xdr:col>
      <xdr:colOff>371468</xdr:colOff>
      <xdr:row>0</xdr:row>
      <xdr:rowOff>142874</xdr:rowOff>
    </xdr:from>
    <xdr:to>
      <xdr:col>8</xdr:col>
      <xdr:colOff>293804</xdr:colOff>
      <xdr:row>2</xdr:row>
      <xdr:rowOff>87187</xdr:rowOff>
    </xdr:to>
    <xdr:sp macro="" textlink="$K$4">
      <xdr:nvSpPr>
        <xdr:cNvPr id="17" name="TextBox 16"/>
        <xdr:cNvSpPr txBox="1"/>
      </xdr:nvSpPr>
      <xdr:spPr>
        <a:xfrm>
          <a:off x="4810118" y="142874"/>
          <a:ext cx="1055811" cy="3253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FDEDC129-0A7F-4630-BA04-D6C866EC8672}" type="TxLink">
            <a:rPr lang="en-US" sz="1600" b="1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30-Sep-25</a:t>
          </a:fld>
          <a:endParaRPr lang="en-US" sz="1600" b="1"/>
        </a:p>
      </xdr:txBody>
    </xdr:sp>
    <xdr:clientData/>
  </xdr:twoCellAnchor>
  <xdr:twoCellAnchor>
    <xdr:from>
      <xdr:col>2</xdr:col>
      <xdr:colOff>600209</xdr:colOff>
      <xdr:row>0</xdr:row>
      <xdr:rowOff>142385</xdr:rowOff>
    </xdr:from>
    <xdr:to>
      <xdr:col>4</xdr:col>
      <xdr:colOff>457200</xdr:colOff>
      <xdr:row>2</xdr:row>
      <xdr:rowOff>81328</xdr:rowOff>
    </xdr:to>
    <xdr:sp macro="" textlink="">
      <xdr:nvSpPr>
        <xdr:cNvPr id="18" name="TextBox 17"/>
        <xdr:cNvSpPr txBox="1"/>
      </xdr:nvSpPr>
      <xdr:spPr>
        <a:xfrm>
          <a:off x="1819409" y="142385"/>
          <a:ext cx="1076191" cy="319943"/>
        </a:xfrm>
        <a:prstGeom prst="rect">
          <a:avLst/>
        </a:prstGeom>
        <a:solidFill>
          <a:srgbClr val="FF99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000" b="1"/>
            <a:t>From</a:t>
          </a:r>
          <a:endParaRPr lang="en-US" sz="1100" b="1"/>
        </a:p>
      </xdr:txBody>
    </xdr:sp>
    <xdr:clientData/>
  </xdr:twoCellAnchor>
  <xdr:twoCellAnchor>
    <xdr:from>
      <xdr:col>4</xdr:col>
      <xdr:colOff>465257</xdr:colOff>
      <xdr:row>0</xdr:row>
      <xdr:rowOff>142385</xdr:rowOff>
    </xdr:from>
    <xdr:to>
      <xdr:col>6</xdr:col>
      <xdr:colOff>369029</xdr:colOff>
      <xdr:row>2</xdr:row>
      <xdr:rowOff>81326</xdr:rowOff>
    </xdr:to>
    <xdr:sp macro="" textlink="$H$4">
      <xdr:nvSpPr>
        <xdr:cNvPr id="19" name="TextBox 18"/>
        <xdr:cNvSpPr txBox="1"/>
      </xdr:nvSpPr>
      <xdr:spPr>
        <a:xfrm>
          <a:off x="2903657" y="142385"/>
          <a:ext cx="1122972" cy="31994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3786EEC2-464A-469E-BA84-9467F94783BA}" type="TxLink">
            <a:rPr lang="en-US" sz="1600" b="1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01-Sep-25</a:t>
          </a:fld>
          <a:endParaRPr lang="en-US" sz="2000" b="1"/>
        </a:p>
      </xdr:txBody>
    </xdr:sp>
    <xdr:clientData/>
  </xdr:twoCellAnchor>
  <xdr:twoCellAnchor>
    <xdr:from>
      <xdr:col>6</xdr:col>
      <xdr:colOff>516607</xdr:colOff>
      <xdr:row>0</xdr:row>
      <xdr:rowOff>142875</xdr:rowOff>
    </xdr:from>
    <xdr:to>
      <xdr:col>7</xdr:col>
      <xdr:colOff>368120</xdr:colOff>
      <xdr:row>2</xdr:row>
      <xdr:rowOff>81818</xdr:rowOff>
    </xdr:to>
    <xdr:sp macro="" textlink="">
      <xdr:nvSpPr>
        <xdr:cNvPr id="20" name="TextBox 19"/>
        <xdr:cNvSpPr txBox="1"/>
      </xdr:nvSpPr>
      <xdr:spPr>
        <a:xfrm>
          <a:off x="4174207" y="142875"/>
          <a:ext cx="632563" cy="319943"/>
        </a:xfrm>
        <a:prstGeom prst="rect">
          <a:avLst/>
        </a:prstGeom>
        <a:solidFill>
          <a:srgbClr val="FF99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000" b="1"/>
            <a:t>To</a:t>
          </a:r>
        </a:p>
      </xdr:txBody>
    </xdr:sp>
    <xdr:clientData/>
  </xdr:twoCellAnchor>
  <xdr:twoCellAnchor>
    <xdr:from>
      <xdr:col>9</xdr:col>
      <xdr:colOff>104773</xdr:colOff>
      <xdr:row>0</xdr:row>
      <xdr:rowOff>95251</xdr:rowOff>
    </xdr:from>
    <xdr:to>
      <xdr:col>28</xdr:col>
      <xdr:colOff>178593</xdr:colOff>
      <xdr:row>2</xdr:row>
      <xdr:rowOff>133351</xdr:rowOff>
    </xdr:to>
    <xdr:sp macro="" textlink="">
      <xdr:nvSpPr>
        <xdr:cNvPr id="21" name="Rectangle 20"/>
        <xdr:cNvSpPr/>
      </xdr:nvSpPr>
      <xdr:spPr>
        <a:xfrm>
          <a:off x="6212679" y="95251"/>
          <a:ext cx="6276977" cy="41910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110465</xdr:colOff>
      <xdr:row>1</xdr:row>
      <xdr:rowOff>12369</xdr:rowOff>
    </xdr:from>
    <xdr:to>
      <xdr:col>19</xdr:col>
      <xdr:colOff>148441</xdr:colOff>
      <xdr:row>2</xdr:row>
      <xdr:rowOff>23872</xdr:rowOff>
    </xdr:to>
    <xdr:sp macro="" textlink="">
      <xdr:nvSpPr>
        <xdr:cNvPr id="22" name="TextBox 21"/>
        <xdr:cNvSpPr txBox="1"/>
      </xdr:nvSpPr>
      <xdr:spPr>
        <a:xfrm>
          <a:off x="6644615" y="202869"/>
          <a:ext cx="3028826" cy="202003"/>
        </a:xfrm>
        <a:prstGeom prst="rect">
          <a:avLst/>
        </a:prstGeom>
        <a:solidFill>
          <a:schemeClr val="bg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800" b="1"/>
            <a:t>Dashboard For</a:t>
          </a:r>
          <a:r>
            <a:rPr lang="en-US" sz="1800" b="1" baseline="0"/>
            <a:t> The Month Of    </a:t>
          </a:r>
          <a:endParaRPr lang="en-US" sz="1800" b="1"/>
        </a:p>
      </xdr:txBody>
    </xdr:sp>
    <xdr:clientData/>
  </xdr:twoCellAnchor>
  <xdr:twoCellAnchor editAs="oneCell">
    <xdr:from>
      <xdr:col>9</xdr:col>
      <xdr:colOff>107128</xdr:colOff>
      <xdr:row>0</xdr:row>
      <xdr:rowOff>133530</xdr:rowOff>
    </xdr:from>
    <xdr:to>
      <xdr:col>10</xdr:col>
      <xdr:colOff>79042</xdr:colOff>
      <xdr:row>2</xdr:row>
      <xdr:rowOff>114536</xdr:rowOff>
    </xdr:to>
    <xdr:pic>
      <xdr:nvPicPr>
        <xdr:cNvPr id="23" name="Picture 22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 rot="5158119">
          <a:off x="6270020" y="152363"/>
          <a:ext cx="362006" cy="324340"/>
        </a:xfrm>
        <a:prstGeom prst="rect">
          <a:avLst/>
        </a:prstGeom>
      </xdr:spPr>
    </xdr:pic>
    <xdr:clientData/>
  </xdr:twoCellAnchor>
  <xdr:twoCellAnchor>
    <xdr:from>
      <xdr:col>19</xdr:col>
      <xdr:colOff>70044</xdr:colOff>
      <xdr:row>0</xdr:row>
      <xdr:rowOff>133813</xdr:rowOff>
    </xdr:from>
    <xdr:to>
      <xdr:col>24</xdr:col>
      <xdr:colOff>70044</xdr:colOff>
      <xdr:row>2</xdr:row>
      <xdr:rowOff>86189</xdr:rowOff>
    </xdr:to>
    <xdr:sp macro="" textlink="$O$4">
      <xdr:nvSpPr>
        <xdr:cNvPr id="24" name="TextBox 23"/>
        <xdr:cNvSpPr txBox="1"/>
      </xdr:nvSpPr>
      <xdr:spPr>
        <a:xfrm>
          <a:off x="9535513" y="133813"/>
          <a:ext cx="1595437" cy="333376"/>
        </a:xfrm>
        <a:prstGeom prst="rect">
          <a:avLst/>
        </a:prstGeom>
        <a:solidFill>
          <a:srgbClr val="FF99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34BAD96D-33B3-407C-843D-30EA8E6C9ECE}" type="TxLink">
            <a:rPr lang="en-US" sz="2400" b="1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September</a:t>
          </a:fld>
          <a:endParaRPr lang="en-US" sz="2400" b="1"/>
        </a:p>
      </xdr:txBody>
    </xdr:sp>
    <xdr:clientData/>
  </xdr:twoCellAnchor>
  <xdr:twoCellAnchor>
    <xdr:from>
      <xdr:col>29</xdr:col>
      <xdr:colOff>52336</xdr:colOff>
      <xdr:row>0</xdr:row>
      <xdr:rowOff>167472</xdr:rowOff>
    </xdr:from>
    <xdr:to>
      <xdr:col>30</xdr:col>
      <xdr:colOff>73270</xdr:colOff>
      <xdr:row>2</xdr:row>
      <xdr:rowOff>52335</xdr:rowOff>
    </xdr:to>
    <xdr:sp macro="" textlink="">
      <xdr:nvSpPr>
        <xdr:cNvPr id="25" name="TextBox 24"/>
        <xdr:cNvSpPr txBox="1"/>
      </xdr:nvSpPr>
      <xdr:spPr>
        <a:xfrm>
          <a:off x="12749161" y="167472"/>
          <a:ext cx="306684" cy="26586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29</xdr:col>
      <xdr:colOff>167471</xdr:colOff>
      <xdr:row>1</xdr:row>
      <xdr:rowOff>62802</xdr:rowOff>
    </xdr:from>
    <xdr:to>
      <xdr:col>30</xdr:col>
      <xdr:colOff>20933</xdr:colOff>
      <xdr:row>1</xdr:row>
      <xdr:rowOff>167472</xdr:rowOff>
    </xdr:to>
    <xdr:sp macro="" textlink="">
      <xdr:nvSpPr>
        <xdr:cNvPr id="26" name="Flowchart: Connector 25"/>
        <xdr:cNvSpPr/>
      </xdr:nvSpPr>
      <xdr:spPr>
        <a:xfrm>
          <a:off x="12864296" y="253302"/>
          <a:ext cx="139212" cy="104670"/>
        </a:xfrm>
        <a:prstGeom prst="flowChartConnector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noFill/>
          </a:endParaRPr>
        </a:p>
      </xdr:txBody>
    </xdr:sp>
    <xdr:clientData/>
  </xdr:twoCellAnchor>
  <xdr:twoCellAnchor>
    <xdr:from>
      <xdr:col>33</xdr:col>
      <xdr:colOff>136071</xdr:colOff>
      <xdr:row>0</xdr:row>
      <xdr:rowOff>167473</xdr:rowOff>
    </xdr:from>
    <xdr:to>
      <xdr:col>34</xdr:col>
      <xdr:colOff>52334</xdr:colOff>
      <xdr:row>2</xdr:row>
      <xdr:rowOff>73270</xdr:rowOff>
    </xdr:to>
    <xdr:sp macro="" textlink="">
      <xdr:nvSpPr>
        <xdr:cNvPr id="27" name="TextBox 26"/>
        <xdr:cNvSpPr txBox="1"/>
      </xdr:nvSpPr>
      <xdr:spPr>
        <a:xfrm>
          <a:off x="14080671" y="167473"/>
          <a:ext cx="202013" cy="28679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33</xdr:col>
      <xdr:colOff>141933</xdr:colOff>
      <xdr:row>1</xdr:row>
      <xdr:rowOff>79131</xdr:rowOff>
    </xdr:from>
    <xdr:to>
      <xdr:col>33</xdr:col>
      <xdr:colOff>278005</xdr:colOff>
      <xdr:row>1</xdr:row>
      <xdr:rowOff>183801</xdr:rowOff>
    </xdr:to>
    <xdr:sp macro="" textlink="">
      <xdr:nvSpPr>
        <xdr:cNvPr id="28" name="Flowchart: Connector 27"/>
        <xdr:cNvSpPr/>
      </xdr:nvSpPr>
      <xdr:spPr>
        <a:xfrm>
          <a:off x="14086533" y="269631"/>
          <a:ext cx="136072" cy="104670"/>
        </a:xfrm>
        <a:prstGeom prst="flowChartConnector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noFill/>
          </a:endParaRPr>
        </a:p>
      </xdr:txBody>
    </xdr:sp>
    <xdr:clientData/>
  </xdr:twoCellAnchor>
  <xdr:twoCellAnchor>
    <xdr:from>
      <xdr:col>37</xdr:col>
      <xdr:colOff>83734</xdr:colOff>
      <xdr:row>0</xdr:row>
      <xdr:rowOff>147795</xdr:rowOff>
    </xdr:from>
    <xdr:to>
      <xdr:col>37</xdr:col>
      <xdr:colOff>272141</xdr:colOff>
      <xdr:row>2</xdr:row>
      <xdr:rowOff>41869</xdr:rowOff>
    </xdr:to>
    <xdr:sp macro="" textlink="">
      <xdr:nvSpPr>
        <xdr:cNvPr id="29" name="TextBox 28"/>
        <xdr:cNvSpPr txBox="1"/>
      </xdr:nvSpPr>
      <xdr:spPr>
        <a:xfrm>
          <a:off x="15228484" y="147795"/>
          <a:ext cx="188407" cy="27507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37</xdr:col>
      <xdr:colOff>116393</xdr:colOff>
      <xdr:row>1</xdr:row>
      <xdr:rowOff>84993</xdr:rowOff>
    </xdr:from>
    <xdr:to>
      <xdr:col>37</xdr:col>
      <xdr:colOff>252465</xdr:colOff>
      <xdr:row>2</xdr:row>
      <xdr:rowOff>1257</xdr:rowOff>
    </xdr:to>
    <xdr:sp macro="" textlink="">
      <xdr:nvSpPr>
        <xdr:cNvPr id="30" name="Flowchart: Connector 29"/>
        <xdr:cNvSpPr/>
      </xdr:nvSpPr>
      <xdr:spPr>
        <a:xfrm>
          <a:off x="15261143" y="275493"/>
          <a:ext cx="136072" cy="106764"/>
        </a:xfrm>
        <a:prstGeom prst="flowChartConnector">
          <a:avLst/>
        </a:prstGeom>
        <a:solidFill>
          <a:srgbClr val="FFFF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noFill/>
          </a:endParaRPr>
        </a:p>
      </xdr:txBody>
    </xdr:sp>
    <xdr:clientData/>
  </xdr:twoCellAnchor>
  <xdr:twoCellAnchor>
    <xdr:from>
      <xdr:col>29</xdr:col>
      <xdr:colOff>272144</xdr:colOff>
      <xdr:row>0</xdr:row>
      <xdr:rowOff>125604</xdr:rowOff>
    </xdr:from>
    <xdr:to>
      <xdr:col>33</xdr:col>
      <xdr:colOff>41869</xdr:colOff>
      <xdr:row>2</xdr:row>
      <xdr:rowOff>73269</xdr:rowOff>
    </xdr:to>
    <xdr:sp macro="" textlink="">
      <xdr:nvSpPr>
        <xdr:cNvPr id="31" name="TextBox 30"/>
        <xdr:cNvSpPr txBox="1"/>
      </xdr:nvSpPr>
      <xdr:spPr>
        <a:xfrm>
          <a:off x="12968969" y="125604"/>
          <a:ext cx="1017500" cy="32866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000" b="1">
              <a:solidFill>
                <a:schemeClr val="bg1"/>
              </a:solidFill>
            </a:rPr>
            <a:t>Present</a:t>
          </a:r>
        </a:p>
      </xdr:txBody>
    </xdr:sp>
    <xdr:clientData/>
  </xdr:twoCellAnchor>
  <xdr:twoCellAnchor>
    <xdr:from>
      <xdr:col>33</xdr:col>
      <xdr:colOff>251209</xdr:colOff>
      <xdr:row>0</xdr:row>
      <xdr:rowOff>157006</xdr:rowOff>
    </xdr:from>
    <xdr:to>
      <xdr:col>36</xdr:col>
      <xdr:colOff>272142</xdr:colOff>
      <xdr:row>2</xdr:row>
      <xdr:rowOff>73272</xdr:rowOff>
    </xdr:to>
    <xdr:sp macro="" textlink="">
      <xdr:nvSpPr>
        <xdr:cNvPr id="32" name="TextBox 31"/>
        <xdr:cNvSpPr txBox="1"/>
      </xdr:nvSpPr>
      <xdr:spPr>
        <a:xfrm>
          <a:off x="14195809" y="157006"/>
          <a:ext cx="935333" cy="29726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000" b="1">
              <a:solidFill>
                <a:schemeClr val="bg1"/>
              </a:solidFill>
            </a:rPr>
            <a:t>Absent</a:t>
          </a:r>
          <a:endParaRPr lang="en-US" sz="1600" b="1">
            <a:solidFill>
              <a:schemeClr val="bg1"/>
            </a:solidFill>
          </a:endParaRPr>
        </a:p>
      </xdr:txBody>
    </xdr:sp>
    <xdr:clientData/>
  </xdr:twoCellAnchor>
  <xdr:twoCellAnchor>
    <xdr:from>
      <xdr:col>37</xdr:col>
      <xdr:colOff>198872</xdr:colOff>
      <xdr:row>0</xdr:row>
      <xdr:rowOff>146539</xdr:rowOff>
    </xdr:from>
    <xdr:to>
      <xdr:col>39</xdr:col>
      <xdr:colOff>404812</xdr:colOff>
      <xdr:row>2</xdr:row>
      <xdr:rowOff>104671</xdr:rowOff>
    </xdr:to>
    <xdr:sp macro="" textlink="">
      <xdr:nvSpPr>
        <xdr:cNvPr id="33" name="TextBox 32"/>
        <xdr:cNvSpPr txBox="1"/>
      </xdr:nvSpPr>
      <xdr:spPr>
        <a:xfrm>
          <a:off x="15295997" y="146539"/>
          <a:ext cx="836971" cy="33913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000" b="1">
              <a:solidFill>
                <a:schemeClr val="bg1"/>
              </a:solidFill>
            </a:rPr>
            <a:t>Leave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</xdr:rowOff>
    </xdr:from>
    <xdr:to>
      <xdr:col>2</xdr:col>
      <xdr:colOff>590550</xdr:colOff>
      <xdr:row>28</xdr:row>
      <xdr:rowOff>134328</xdr:rowOff>
    </xdr:to>
    <xdr:sp macro="" textlink="">
      <xdr:nvSpPr>
        <xdr:cNvPr id="2" name="Rectangle 1"/>
        <xdr:cNvSpPr/>
      </xdr:nvSpPr>
      <xdr:spPr>
        <a:xfrm>
          <a:off x="0" y="1"/>
          <a:ext cx="1811704" cy="5653942"/>
        </a:xfrm>
        <a:prstGeom prst="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b="1"/>
        </a:p>
      </xdr:txBody>
    </xdr:sp>
    <xdr:clientData/>
  </xdr:twoCellAnchor>
  <xdr:twoCellAnchor>
    <xdr:from>
      <xdr:col>2</xdr:col>
      <xdr:colOff>492672</xdr:colOff>
      <xdr:row>0</xdr:row>
      <xdr:rowOff>10467</xdr:rowOff>
    </xdr:from>
    <xdr:to>
      <xdr:col>40</xdr:col>
      <xdr:colOff>296883</xdr:colOff>
      <xdr:row>3</xdr:row>
      <xdr:rowOff>34889</xdr:rowOff>
    </xdr:to>
    <xdr:sp macro="" textlink="">
      <xdr:nvSpPr>
        <xdr:cNvPr id="3" name="Rectangle 2"/>
        <xdr:cNvSpPr/>
      </xdr:nvSpPr>
      <xdr:spPr>
        <a:xfrm>
          <a:off x="1711872" y="10467"/>
          <a:ext cx="14710836" cy="595922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145596</xdr:colOff>
      <xdr:row>3</xdr:row>
      <xdr:rowOff>149714</xdr:rowOff>
    </xdr:from>
    <xdr:to>
      <xdr:col>3</xdr:col>
      <xdr:colOff>307522</xdr:colOff>
      <xdr:row>5</xdr:row>
      <xdr:rowOff>140190</xdr:rowOff>
    </xdr:to>
    <xdr:sp macro="" textlink="">
      <xdr:nvSpPr>
        <xdr:cNvPr id="4" name="Rounded Rectangle 3">
          <a:hlinkClick xmlns:r="http://schemas.openxmlformats.org/officeDocument/2006/relationships" r:id="rId1"/>
        </xdr:cNvPr>
        <xdr:cNvSpPr/>
      </xdr:nvSpPr>
      <xdr:spPr>
        <a:xfrm>
          <a:off x="145596" y="728018"/>
          <a:ext cx="1998890" cy="398690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0">
              <a:solidFill>
                <a:schemeClr val="bg2">
                  <a:lumMod val="90000"/>
                </a:schemeClr>
              </a:solidFill>
              <a:latin typeface="+mn-lt"/>
              <a:ea typeface="+mn-ea"/>
              <a:cs typeface="+mn-cs"/>
            </a:rPr>
            <a:t>January</a:t>
          </a:r>
        </a:p>
      </xdr:txBody>
    </xdr:sp>
    <xdr:clientData/>
  </xdr:twoCellAnchor>
  <xdr:twoCellAnchor>
    <xdr:from>
      <xdr:col>0</xdr:col>
      <xdr:colOff>150935</xdr:colOff>
      <xdr:row>16</xdr:row>
      <xdr:rowOff>48846</xdr:rowOff>
    </xdr:from>
    <xdr:to>
      <xdr:col>3</xdr:col>
      <xdr:colOff>312860</xdr:colOff>
      <xdr:row>17</xdr:row>
      <xdr:rowOff>186105</xdr:rowOff>
    </xdr:to>
    <xdr:sp macro="" textlink="">
      <xdr:nvSpPr>
        <xdr:cNvPr id="5" name="Rounded Rectangle 4">
          <a:hlinkClick xmlns:r="http://schemas.openxmlformats.org/officeDocument/2006/relationships" r:id="rId2"/>
        </xdr:cNvPr>
        <xdr:cNvSpPr/>
      </xdr:nvSpPr>
      <xdr:spPr>
        <a:xfrm>
          <a:off x="150935" y="3173046"/>
          <a:ext cx="1990725" cy="327759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0">
              <a:solidFill>
                <a:schemeClr val="bg2">
                  <a:lumMod val="90000"/>
                </a:schemeClr>
              </a:solidFill>
            </a:rPr>
            <a:t>July</a:t>
          </a:r>
        </a:p>
      </xdr:txBody>
    </xdr:sp>
    <xdr:clientData/>
  </xdr:twoCellAnchor>
  <xdr:twoCellAnchor>
    <xdr:from>
      <xdr:col>0</xdr:col>
      <xdr:colOff>146783</xdr:colOff>
      <xdr:row>18</xdr:row>
      <xdr:rowOff>58371</xdr:rowOff>
    </xdr:from>
    <xdr:to>
      <xdr:col>3</xdr:col>
      <xdr:colOff>308708</xdr:colOff>
      <xdr:row>20</xdr:row>
      <xdr:rowOff>3419</xdr:rowOff>
    </xdr:to>
    <xdr:sp macro="" textlink="">
      <xdr:nvSpPr>
        <xdr:cNvPr id="6" name="Rounded Rectangle 5">
          <a:hlinkClick xmlns:r="http://schemas.openxmlformats.org/officeDocument/2006/relationships" r:id="rId3"/>
        </xdr:cNvPr>
        <xdr:cNvSpPr/>
      </xdr:nvSpPr>
      <xdr:spPr>
        <a:xfrm>
          <a:off x="146783" y="3563571"/>
          <a:ext cx="1990725" cy="326048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0">
              <a:solidFill>
                <a:schemeClr val="bg2">
                  <a:lumMod val="90000"/>
                </a:schemeClr>
              </a:solidFill>
            </a:rPr>
            <a:t>August</a:t>
          </a:r>
        </a:p>
      </xdr:txBody>
    </xdr:sp>
    <xdr:clientData/>
  </xdr:twoCellAnchor>
  <xdr:twoCellAnchor>
    <xdr:from>
      <xdr:col>0</xdr:col>
      <xdr:colOff>161682</xdr:colOff>
      <xdr:row>7</xdr:row>
      <xdr:rowOff>182197</xdr:rowOff>
    </xdr:from>
    <xdr:to>
      <xdr:col>3</xdr:col>
      <xdr:colOff>323607</xdr:colOff>
      <xdr:row>9</xdr:row>
      <xdr:rowOff>142875</xdr:rowOff>
    </xdr:to>
    <xdr:sp macro="" textlink="">
      <xdr:nvSpPr>
        <xdr:cNvPr id="7" name="Rounded Rectangle 6">
          <a:hlinkClick xmlns:r="http://schemas.openxmlformats.org/officeDocument/2006/relationships" r:id="rId4"/>
        </xdr:cNvPr>
        <xdr:cNvSpPr/>
      </xdr:nvSpPr>
      <xdr:spPr>
        <a:xfrm>
          <a:off x="161682" y="1591897"/>
          <a:ext cx="1990725" cy="341678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0">
              <a:solidFill>
                <a:schemeClr val="bg2">
                  <a:lumMod val="90000"/>
                </a:schemeClr>
              </a:solidFill>
            </a:rPr>
            <a:t>March</a:t>
          </a:r>
        </a:p>
      </xdr:txBody>
    </xdr:sp>
    <xdr:clientData/>
  </xdr:twoCellAnchor>
  <xdr:twoCellAnchor>
    <xdr:from>
      <xdr:col>0</xdr:col>
      <xdr:colOff>139944</xdr:colOff>
      <xdr:row>10</xdr:row>
      <xdr:rowOff>10745</xdr:rowOff>
    </xdr:from>
    <xdr:to>
      <xdr:col>3</xdr:col>
      <xdr:colOff>301869</xdr:colOff>
      <xdr:row>11</xdr:row>
      <xdr:rowOff>148003</xdr:rowOff>
    </xdr:to>
    <xdr:sp macro="" textlink="">
      <xdr:nvSpPr>
        <xdr:cNvPr id="8" name="Rounded Rectangle 7">
          <a:hlinkClick xmlns:r="http://schemas.openxmlformats.org/officeDocument/2006/relationships" r:id="rId5"/>
        </xdr:cNvPr>
        <xdr:cNvSpPr/>
      </xdr:nvSpPr>
      <xdr:spPr>
        <a:xfrm>
          <a:off x="139944" y="1991945"/>
          <a:ext cx="1990725" cy="327758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0">
              <a:solidFill>
                <a:schemeClr val="bg2">
                  <a:lumMod val="90000"/>
                </a:schemeClr>
              </a:solidFill>
              <a:latin typeface="+mn-lt"/>
              <a:ea typeface="+mn-ea"/>
              <a:cs typeface="+mn-cs"/>
            </a:rPr>
            <a:t>April</a:t>
          </a:r>
        </a:p>
      </xdr:txBody>
    </xdr:sp>
    <xdr:clientData/>
  </xdr:twoCellAnchor>
  <xdr:twoCellAnchor>
    <xdr:from>
      <xdr:col>0</xdr:col>
      <xdr:colOff>154843</xdr:colOff>
      <xdr:row>5</xdr:row>
      <xdr:rowOff>209550</xdr:rowOff>
    </xdr:from>
    <xdr:to>
      <xdr:col>3</xdr:col>
      <xdr:colOff>316768</xdr:colOff>
      <xdr:row>7</xdr:row>
      <xdr:rowOff>125048</xdr:rowOff>
    </xdr:to>
    <xdr:sp macro="" textlink="">
      <xdr:nvSpPr>
        <xdr:cNvPr id="9" name="Rounded Rectangle 8">
          <a:hlinkClick xmlns:r="http://schemas.openxmlformats.org/officeDocument/2006/relationships" r:id="rId6"/>
        </xdr:cNvPr>
        <xdr:cNvSpPr/>
      </xdr:nvSpPr>
      <xdr:spPr>
        <a:xfrm>
          <a:off x="154843" y="1181100"/>
          <a:ext cx="1990725" cy="353648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0">
              <a:solidFill>
                <a:schemeClr val="bg2">
                  <a:lumMod val="90000"/>
                </a:schemeClr>
              </a:solidFill>
            </a:rPr>
            <a:t>February</a:t>
          </a:r>
        </a:p>
      </xdr:txBody>
    </xdr:sp>
    <xdr:clientData/>
  </xdr:twoCellAnchor>
  <xdr:twoCellAnchor>
    <xdr:from>
      <xdr:col>0</xdr:col>
      <xdr:colOff>149469</xdr:colOff>
      <xdr:row>12</xdr:row>
      <xdr:rowOff>14899</xdr:rowOff>
    </xdr:from>
    <xdr:to>
      <xdr:col>3</xdr:col>
      <xdr:colOff>311394</xdr:colOff>
      <xdr:row>13</xdr:row>
      <xdr:rowOff>176824</xdr:rowOff>
    </xdr:to>
    <xdr:sp macro="" textlink="">
      <xdr:nvSpPr>
        <xdr:cNvPr id="10" name="Rounded Rectangle 9">
          <a:hlinkClick xmlns:r="http://schemas.openxmlformats.org/officeDocument/2006/relationships" r:id="rId7"/>
        </xdr:cNvPr>
        <xdr:cNvSpPr/>
      </xdr:nvSpPr>
      <xdr:spPr>
        <a:xfrm>
          <a:off x="149469" y="2377099"/>
          <a:ext cx="1990725" cy="352425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0">
              <a:solidFill>
                <a:schemeClr val="bg2">
                  <a:lumMod val="90000"/>
                </a:schemeClr>
              </a:solidFill>
            </a:rPr>
            <a:t>May</a:t>
          </a:r>
        </a:p>
      </xdr:txBody>
    </xdr:sp>
    <xdr:clientData/>
  </xdr:twoCellAnchor>
  <xdr:twoCellAnchor>
    <xdr:from>
      <xdr:col>0</xdr:col>
      <xdr:colOff>153622</xdr:colOff>
      <xdr:row>14</xdr:row>
      <xdr:rowOff>36635</xdr:rowOff>
    </xdr:from>
    <xdr:to>
      <xdr:col>3</xdr:col>
      <xdr:colOff>315547</xdr:colOff>
      <xdr:row>16</xdr:row>
      <xdr:rowOff>732</xdr:rowOff>
    </xdr:to>
    <xdr:sp macro="" textlink="">
      <xdr:nvSpPr>
        <xdr:cNvPr id="11" name="Rounded Rectangle 10">
          <a:hlinkClick xmlns:r="http://schemas.openxmlformats.org/officeDocument/2006/relationships" r:id="rId8"/>
        </xdr:cNvPr>
        <xdr:cNvSpPr/>
      </xdr:nvSpPr>
      <xdr:spPr>
        <a:xfrm>
          <a:off x="153622" y="2779835"/>
          <a:ext cx="1990725" cy="345097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0">
              <a:solidFill>
                <a:schemeClr val="bg2">
                  <a:lumMod val="90000"/>
                </a:schemeClr>
              </a:solidFill>
            </a:rPr>
            <a:t>June</a:t>
          </a:r>
        </a:p>
      </xdr:txBody>
    </xdr:sp>
    <xdr:clientData/>
  </xdr:twoCellAnchor>
  <xdr:twoCellAnchor>
    <xdr:from>
      <xdr:col>0</xdr:col>
      <xdr:colOff>144096</xdr:colOff>
      <xdr:row>20</xdr:row>
      <xdr:rowOff>59838</xdr:rowOff>
    </xdr:from>
    <xdr:to>
      <xdr:col>3</xdr:col>
      <xdr:colOff>306021</xdr:colOff>
      <xdr:row>22</xdr:row>
      <xdr:rowOff>8061</xdr:rowOff>
    </xdr:to>
    <xdr:sp macro="" textlink="">
      <xdr:nvSpPr>
        <xdr:cNvPr id="12" name="Rounded Rectangle 11">
          <a:hlinkClick xmlns:r="http://schemas.openxmlformats.org/officeDocument/2006/relationships" r:id="rId9"/>
        </xdr:cNvPr>
        <xdr:cNvSpPr/>
      </xdr:nvSpPr>
      <xdr:spPr>
        <a:xfrm>
          <a:off x="144096" y="3946038"/>
          <a:ext cx="1990725" cy="329223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0">
              <a:solidFill>
                <a:schemeClr val="bg2">
                  <a:lumMod val="90000"/>
                </a:schemeClr>
              </a:solidFill>
            </a:rPr>
            <a:t>September</a:t>
          </a:r>
        </a:p>
      </xdr:txBody>
    </xdr:sp>
    <xdr:clientData/>
  </xdr:twoCellAnchor>
  <xdr:twoCellAnchor>
    <xdr:from>
      <xdr:col>0</xdr:col>
      <xdr:colOff>463969</xdr:colOff>
      <xdr:row>22</xdr:row>
      <xdr:rowOff>47625</xdr:rowOff>
    </xdr:from>
    <xdr:to>
      <xdr:col>4</xdr:col>
      <xdr:colOff>13572</xdr:colOff>
      <xdr:row>24</xdr:row>
      <xdr:rowOff>39670</xdr:rowOff>
    </xdr:to>
    <xdr:sp macro="" textlink="">
      <xdr:nvSpPr>
        <xdr:cNvPr id="13" name="Rounded Rectangle 12">
          <a:hlinkClick xmlns:r="http://schemas.openxmlformats.org/officeDocument/2006/relationships" r:id="rId10"/>
        </xdr:cNvPr>
        <xdr:cNvSpPr/>
      </xdr:nvSpPr>
      <xdr:spPr>
        <a:xfrm>
          <a:off x="463969" y="4314825"/>
          <a:ext cx="1988003" cy="373045"/>
        </a:xfrm>
        <a:prstGeom prst="roundRect">
          <a:avLst/>
        </a:prstGeom>
        <a:solidFill>
          <a:schemeClr val="bg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 b="1">
              <a:solidFill>
                <a:schemeClr val="tx1"/>
              </a:solidFill>
              <a:latin typeface="+mn-lt"/>
              <a:ea typeface="+mn-ea"/>
              <a:cs typeface="+mn-cs"/>
            </a:rPr>
            <a:t>October</a:t>
          </a:r>
        </a:p>
      </xdr:txBody>
    </xdr:sp>
    <xdr:clientData/>
  </xdr:twoCellAnchor>
  <xdr:twoCellAnchor>
    <xdr:from>
      <xdr:col>0</xdr:col>
      <xdr:colOff>160459</xdr:colOff>
      <xdr:row>24</xdr:row>
      <xdr:rowOff>64965</xdr:rowOff>
    </xdr:from>
    <xdr:to>
      <xdr:col>3</xdr:col>
      <xdr:colOff>322384</xdr:colOff>
      <xdr:row>26</xdr:row>
      <xdr:rowOff>25645</xdr:rowOff>
    </xdr:to>
    <xdr:sp macro="" textlink="">
      <xdr:nvSpPr>
        <xdr:cNvPr id="14" name="Rounded Rectangle 13">
          <a:hlinkClick xmlns:r="http://schemas.openxmlformats.org/officeDocument/2006/relationships" r:id="rId11"/>
        </xdr:cNvPr>
        <xdr:cNvSpPr/>
      </xdr:nvSpPr>
      <xdr:spPr>
        <a:xfrm>
          <a:off x="160459" y="4713165"/>
          <a:ext cx="1990725" cy="351205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0">
              <a:solidFill>
                <a:schemeClr val="bg2">
                  <a:lumMod val="90000"/>
                </a:schemeClr>
              </a:solidFill>
            </a:rPr>
            <a:t>November</a:t>
          </a:r>
        </a:p>
      </xdr:txBody>
    </xdr:sp>
    <xdr:clientData/>
  </xdr:twoCellAnchor>
  <xdr:twoCellAnchor>
    <xdr:from>
      <xdr:col>0</xdr:col>
      <xdr:colOff>155086</xdr:colOff>
      <xdr:row>26</xdr:row>
      <xdr:rowOff>70583</xdr:rowOff>
    </xdr:from>
    <xdr:to>
      <xdr:col>3</xdr:col>
      <xdr:colOff>317011</xdr:colOff>
      <xdr:row>28</xdr:row>
      <xdr:rowOff>57150</xdr:rowOff>
    </xdr:to>
    <xdr:sp macro="" textlink="">
      <xdr:nvSpPr>
        <xdr:cNvPr id="15" name="Rounded Rectangle 14">
          <a:hlinkClick xmlns:r="http://schemas.openxmlformats.org/officeDocument/2006/relationships" r:id="rId12"/>
        </xdr:cNvPr>
        <xdr:cNvSpPr/>
      </xdr:nvSpPr>
      <xdr:spPr>
        <a:xfrm>
          <a:off x="155086" y="5109308"/>
          <a:ext cx="1990725" cy="367567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0">
              <a:solidFill>
                <a:schemeClr val="bg2">
                  <a:lumMod val="90000"/>
                </a:schemeClr>
              </a:solidFill>
            </a:rPr>
            <a:t>December</a:t>
          </a:r>
        </a:p>
      </xdr:txBody>
    </xdr:sp>
    <xdr:clientData/>
  </xdr:twoCellAnchor>
  <xdr:twoCellAnchor>
    <xdr:from>
      <xdr:col>41</xdr:col>
      <xdr:colOff>24741</xdr:colOff>
      <xdr:row>0</xdr:row>
      <xdr:rowOff>12370</xdr:rowOff>
    </xdr:from>
    <xdr:to>
      <xdr:col>57</xdr:col>
      <xdr:colOff>148442</xdr:colOff>
      <xdr:row>3</xdr:row>
      <xdr:rowOff>0</xdr:rowOff>
    </xdr:to>
    <xdr:sp macro="" textlink="">
      <xdr:nvSpPr>
        <xdr:cNvPr id="16" name="Rectangle 15"/>
        <xdr:cNvSpPr/>
      </xdr:nvSpPr>
      <xdr:spPr>
        <a:xfrm>
          <a:off x="16760166" y="12370"/>
          <a:ext cx="13372976" cy="559130"/>
        </a:xfrm>
        <a:prstGeom prst="rect">
          <a:avLst/>
        </a:prstGeom>
        <a:solidFill>
          <a:srgbClr val="FF9900"/>
        </a:solidFill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3200" b="1">
              <a:solidFill>
                <a:schemeClr val="tx1"/>
              </a:solidFill>
            </a:rPr>
            <a:t>MONTHLY </a:t>
          </a:r>
          <a:r>
            <a:rPr lang="en-US" sz="3600" b="1">
              <a:solidFill>
                <a:schemeClr val="tx1"/>
              </a:solidFill>
            </a:rPr>
            <a:t>REPORT</a:t>
          </a:r>
        </a:p>
      </xdr:txBody>
    </xdr:sp>
    <xdr:clientData/>
  </xdr:twoCellAnchor>
  <xdr:twoCellAnchor>
    <xdr:from>
      <xdr:col>7</xdr:col>
      <xdr:colOff>371468</xdr:colOff>
      <xdr:row>0</xdr:row>
      <xdr:rowOff>142874</xdr:rowOff>
    </xdr:from>
    <xdr:to>
      <xdr:col>8</xdr:col>
      <xdr:colOff>293804</xdr:colOff>
      <xdr:row>2</xdr:row>
      <xdr:rowOff>87187</xdr:rowOff>
    </xdr:to>
    <xdr:sp macro="" textlink="$K$4">
      <xdr:nvSpPr>
        <xdr:cNvPr id="17" name="TextBox 16"/>
        <xdr:cNvSpPr txBox="1"/>
      </xdr:nvSpPr>
      <xdr:spPr>
        <a:xfrm>
          <a:off x="4810118" y="142874"/>
          <a:ext cx="1055811" cy="3253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FDEDC129-0A7F-4630-BA04-D6C866EC8672}" type="TxLink">
            <a:rPr lang="en-US" sz="1600" b="1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31-Oct-25</a:t>
          </a:fld>
          <a:endParaRPr lang="en-US" sz="1600" b="1"/>
        </a:p>
      </xdr:txBody>
    </xdr:sp>
    <xdr:clientData/>
  </xdr:twoCellAnchor>
  <xdr:twoCellAnchor>
    <xdr:from>
      <xdr:col>2</xdr:col>
      <xdr:colOff>600209</xdr:colOff>
      <xdr:row>0</xdr:row>
      <xdr:rowOff>142385</xdr:rowOff>
    </xdr:from>
    <xdr:to>
      <xdr:col>4</xdr:col>
      <xdr:colOff>457200</xdr:colOff>
      <xdr:row>2</xdr:row>
      <xdr:rowOff>81328</xdr:rowOff>
    </xdr:to>
    <xdr:sp macro="" textlink="">
      <xdr:nvSpPr>
        <xdr:cNvPr id="18" name="TextBox 17"/>
        <xdr:cNvSpPr txBox="1"/>
      </xdr:nvSpPr>
      <xdr:spPr>
        <a:xfrm>
          <a:off x="1819409" y="142385"/>
          <a:ext cx="1076191" cy="319943"/>
        </a:xfrm>
        <a:prstGeom prst="rect">
          <a:avLst/>
        </a:prstGeom>
        <a:solidFill>
          <a:srgbClr val="FF99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000" b="1"/>
            <a:t>From</a:t>
          </a:r>
          <a:endParaRPr lang="en-US" sz="1100" b="1"/>
        </a:p>
      </xdr:txBody>
    </xdr:sp>
    <xdr:clientData/>
  </xdr:twoCellAnchor>
  <xdr:twoCellAnchor>
    <xdr:from>
      <xdr:col>4</xdr:col>
      <xdr:colOff>465257</xdr:colOff>
      <xdr:row>0</xdr:row>
      <xdr:rowOff>142385</xdr:rowOff>
    </xdr:from>
    <xdr:to>
      <xdr:col>6</xdr:col>
      <xdr:colOff>369029</xdr:colOff>
      <xdr:row>2</xdr:row>
      <xdr:rowOff>81326</xdr:rowOff>
    </xdr:to>
    <xdr:sp macro="" textlink="$H$4">
      <xdr:nvSpPr>
        <xdr:cNvPr id="19" name="TextBox 18"/>
        <xdr:cNvSpPr txBox="1"/>
      </xdr:nvSpPr>
      <xdr:spPr>
        <a:xfrm>
          <a:off x="2903657" y="142385"/>
          <a:ext cx="1122972" cy="31994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3786EEC2-464A-469E-BA84-9467F94783BA}" type="TxLink">
            <a:rPr lang="en-US" sz="1600" b="1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01-Oct-25</a:t>
          </a:fld>
          <a:endParaRPr lang="en-US" sz="2000" b="1"/>
        </a:p>
      </xdr:txBody>
    </xdr:sp>
    <xdr:clientData/>
  </xdr:twoCellAnchor>
  <xdr:twoCellAnchor>
    <xdr:from>
      <xdr:col>6</xdr:col>
      <xdr:colOff>516607</xdr:colOff>
      <xdr:row>0</xdr:row>
      <xdr:rowOff>142875</xdr:rowOff>
    </xdr:from>
    <xdr:to>
      <xdr:col>7</xdr:col>
      <xdr:colOff>368120</xdr:colOff>
      <xdr:row>2</xdr:row>
      <xdr:rowOff>81818</xdr:rowOff>
    </xdr:to>
    <xdr:sp macro="" textlink="">
      <xdr:nvSpPr>
        <xdr:cNvPr id="20" name="TextBox 19"/>
        <xdr:cNvSpPr txBox="1"/>
      </xdr:nvSpPr>
      <xdr:spPr>
        <a:xfrm>
          <a:off x="4174207" y="142875"/>
          <a:ext cx="632563" cy="319943"/>
        </a:xfrm>
        <a:prstGeom prst="rect">
          <a:avLst/>
        </a:prstGeom>
        <a:solidFill>
          <a:srgbClr val="FF99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000" b="1"/>
            <a:t>To</a:t>
          </a:r>
        </a:p>
      </xdr:txBody>
    </xdr:sp>
    <xdr:clientData/>
  </xdr:twoCellAnchor>
  <xdr:twoCellAnchor>
    <xdr:from>
      <xdr:col>9</xdr:col>
      <xdr:colOff>104773</xdr:colOff>
      <xdr:row>0</xdr:row>
      <xdr:rowOff>95251</xdr:rowOff>
    </xdr:from>
    <xdr:to>
      <xdr:col>28</xdr:col>
      <xdr:colOff>204106</xdr:colOff>
      <xdr:row>2</xdr:row>
      <xdr:rowOff>133351</xdr:rowOff>
    </xdr:to>
    <xdr:sp macro="" textlink="">
      <xdr:nvSpPr>
        <xdr:cNvPr id="21" name="Rectangle 20"/>
        <xdr:cNvSpPr/>
      </xdr:nvSpPr>
      <xdr:spPr>
        <a:xfrm>
          <a:off x="6511469" y="95251"/>
          <a:ext cx="6233887" cy="423636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110465</xdr:colOff>
      <xdr:row>1</xdr:row>
      <xdr:rowOff>12369</xdr:rowOff>
    </xdr:from>
    <xdr:to>
      <xdr:col>19</xdr:col>
      <xdr:colOff>148441</xdr:colOff>
      <xdr:row>2</xdr:row>
      <xdr:rowOff>23872</xdr:rowOff>
    </xdr:to>
    <xdr:sp macro="" textlink="">
      <xdr:nvSpPr>
        <xdr:cNvPr id="22" name="TextBox 21"/>
        <xdr:cNvSpPr txBox="1"/>
      </xdr:nvSpPr>
      <xdr:spPr>
        <a:xfrm>
          <a:off x="6644615" y="202869"/>
          <a:ext cx="3028826" cy="202003"/>
        </a:xfrm>
        <a:prstGeom prst="rect">
          <a:avLst/>
        </a:prstGeom>
        <a:solidFill>
          <a:schemeClr val="bg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800" b="1"/>
            <a:t>Dashboard For</a:t>
          </a:r>
          <a:r>
            <a:rPr lang="en-US" sz="1800" b="1" baseline="0"/>
            <a:t> The Month Of    </a:t>
          </a:r>
          <a:endParaRPr lang="en-US" sz="1800" b="1"/>
        </a:p>
      </xdr:txBody>
    </xdr:sp>
    <xdr:clientData/>
  </xdr:twoCellAnchor>
  <xdr:twoCellAnchor editAs="oneCell">
    <xdr:from>
      <xdr:col>9</xdr:col>
      <xdr:colOff>107128</xdr:colOff>
      <xdr:row>0</xdr:row>
      <xdr:rowOff>133530</xdr:rowOff>
    </xdr:from>
    <xdr:to>
      <xdr:col>10</xdr:col>
      <xdr:colOff>79043</xdr:colOff>
      <xdr:row>2</xdr:row>
      <xdr:rowOff>114536</xdr:rowOff>
    </xdr:to>
    <xdr:pic>
      <xdr:nvPicPr>
        <xdr:cNvPr id="23" name="Picture 22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 rot="5158119">
          <a:off x="6270020" y="152363"/>
          <a:ext cx="362006" cy="324340"/>
        </a:xfrm>
        <a:prstGeom prst="rect">
          <a:avLst/>
        </a:prstGeom>
      </xdr:spPr>
    </xdr:pic>
    <xdr:clientData/>
  </xdr:twoCellAnchor>
  <xdr:twoCellAnchor>
    <xdr:from>
      <xdr:col>19</xdr:col>
      <xdr:colOff>112566</xdr:colOff>
      <xdr:row>0</xdr:row>
      <xdr:rowOff>123041</xdr:rowOff>
    </xdr:from>
    <xdr:to>
      <xdr:col>24</xdr:col>
      <xdr:colOff>112566</xdr:colOff>
      <xdr:row>2</xdr:row>
      <xdr:rowOff>75417</xdr:rowOff>
    </xdr:to>
    <xdr:sp macro="" textlink="$O$4">
      <xdr:nvSpPr>
        <xdr:cNvPr id="24" name="TextBox 23"/>
        <xdr:cNvSpPr txBox="1"/>
      </xdr:nvSpPr>
      <xdr:spPr>
        <a:xfrm>
          <a:off x="9841673" y="123041"/>
          <a:ext cx="1576161" cy="337912"/>
        </a:xfrm>
        <a:prstGeom prst="rect">
          <a:avLst/>
        </a:prstGeom>
        <a:solidFill>
          <a:srgbClr val="FF99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34BAD96D-33B3-407C-843D-30EA8E6C9ECE}" type="TxLink">
            <a:rPr lang="en-US" sz="2400" b="1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October</a:t>
          </a:fld>
          <a:endParaRPr lang="en-US" sz="2400" b="1"/>
        </a:p>
      </xdr:txBody>
    </xdr:sp>
    <xdr:clientData/>
  </xdr:twoCellAnchor>
  <xdr:twoCellAnchor>
    <xdr:from>
      <xdr:col>29</xdr:col>
      <xdr:colOff>52336</xdr:colOff>
      <xdr:row>0</xdr:row>
      <xdr:rowOff>167472</xdr:rowOff>
    </xdr:from>
    <xdr:to>
      <xdr:col>30</xdr:col>
      <xdr:colOff>73270</xdr:colOff>
      <xdr:row>2</xdr:row>
      <xdr:rowOff>52335</xdr:rowOff>
    </xdr:to>
    <xdr:sp macro="" textlink="">
      <xdr:nvSpPr>
        <xdr:cNvPr id="25" name="TextBox 24"/>
        <xdr:cNvSpPr txBox="1"/>
      </xdr:nvSpPr>
      <xdr:spPr>
        <a:xfrm>
          <a:off x="12749161" y="167472"/>
          <a:ext cx="306684" cy="26586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29</xdr:col>
      <xdr:colOff>167471</xdr:colOff>
      <xdr:row>1</xdr:row>
      <xdr:rowOff>62802</xdr:rowOff>
    </xdr:from>
    <xdr:to>
      <xdr:col>30</xdr:col>
      <xdr:colOff>20933</xdr:colOff>
      <xdr:row>1</xdr:row>
      <xdr:rowOff>167472</xdr:rowOff>
    </xdr:to>
    <xdr:sp macro="" textlink="">
      <xdr:nvSpPr>
        <xdr:cNvPr id="26" name="Flowchart: Connector 25"/>
        <xdr:cNvSpPr/>
      </xdr:nvSpPr>
      <xdr:spPr>
        <a:xfrm>
          <a:off x="12864296" y="253302"/>
          <a:ext cx="139212" cy="104670"/>
        </a:xfrm>
        <a:prstGeom prst="flowChartConnector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noFill/>
          </a:endParaRPr>
        </a:p>
      </xdr:txBody>
    </xdr:sp>
    <xdr:clientData/>
  </xdr:twoCellAnchor>
  <xdr:twoCellAnchor>
    <xdr:from>
      <xdr:col>33</xdr:col>
      <xdr:colOff>136071</xdr:colOff>
      <xdr:row>0</xdr:row>
      <xdr:rowOff>167473</xdr:rowOff>
    </xdr:from>
    <xdr:to>
      <xdr:col>34</xdr:col>
      <xdr:colOff>52334</xdr:colOff>
      <xdr:row>2</xdr:row>
      <xdr:rowOff>73270</xdr:rowOff>
    </xdr:to>
    <xdr:sp macro="" textlink="">
      <xdr:nvSpPr>
        <xdr:cNvPr id="27" name="TextBox 26"/>
        <xdr:cNvSpPr txBox="1"/>
      </xdr:nvSpPr>
      <xdr:spPr>
        <a:xfrm>
          <a:off x="14080671" y="167473"/>
          <a:ext cx="202013" cy="28679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33</xdr:col>
      <xdr:colOff>141933</xdr:colOff>
      <xdr:row>1</xdr:row>
      <xdr:rowOff>79131</xdr:rowOff>
    </xdr:from>
    <xdr:to>
      <xdr:col>33</xdr:col>
      <xdr:colOff>278005</xdr:colOff>
      <xdr:row>1</xdr:row>
      <xdr:rowOff>183801</xdr:rowOff>
    </xdr:to>
    <xdr:sp macro="" textlink="">
      <xdr:nvSpPr>
        <xdr:cNvPr id="28" name="Flowchart: Connector 27"/>
        <xdr:cNvSpPr/>
      </xdr:nvSpPr>
      <xdr:spPr>
        <a:xfrm>
          <a:off x="14086533" y="269631"/>
          <a:ext cx="136072" cy="104670"/>
        </a:xfrm>
        <a:prstGeom prst="flowChartConnector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noFill/>
          </a:endParaRPr>
        </a:p>
      </xdr:txBody>
    </xdr:sp>
    <xdr:clientData/>
  </xdr:twoCellAnchor>
  <xdr:twoCellAnchor>
    <xdr:from>
      <xdr:col>37</xdr:col>
      <xdr:colOff>83734</xdr:colOff>
      <xdr:row>0</xdr:row>
      <xdr:rowOff>147795</xdr:rowOff>
    </xdr:from>
    <xdr:to>
      <xdr:col>37</xdr:col>
      <xdr:colOff>272141</xdr:colOff>
      <xdr:row>2</xdr:row>
      <xdr:rowOff>41869</xdr:rowOff>
    </xdr:to>
    <xdr:sp macro="" textlink="">
      <xdr:nvSpPr>
        <xdr:cNvPr id="29" name="TextBox 28"/>
        <xdr:cNvSpPr txBox="1"/>
      </xdr:nvSpPr>
      <xdr:spPr>
        <a:xfrm>
          <a:off x="15228484" y="147795"/>
          <a:ext cx="188407" cy="27507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37</xdr:col>
      <xdr:colOff>116393</xdr:colOff>
      <xdr:row>1</xdr:row>
      <xdr:rowOff>84993</xdr:rowOff>
    </xdr:from>
    <xdr:to>
      <xdr:col>37</xdr:col>
      <xdr:colOff>252465</xdr:colOff>
      <xdr:row>2</xdr:row>
      <xdr:rowOff>1257</xdr:rowOff>
    </xdr:to>
    <xdr:sp macro="" textlink="">
      <xdr:nvSpPr>
        <xdr:cNvPr id="30" name="Flowchart: Connector 29"/>
        <xdr:cNvSpPr/>
      </xdr:nvSpPr>
      <xdr:spPr>
        <a:xfrm>
          <a:off x="15261143" y="275493"/>
          <a:ext cx="136072" cy="106764"/>
        </a:xfrm>
        <a:prstGeom prst="flowChartConnector">
          <a:avLst/>
        </a:prstGeom>
        <a:solidFill>
          <a:srgbClr val="FFFF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noFill/>
          </a:endParaRPr>
        </a:p>
      </xdr:txBody>
    </xdr:sp>
    <xdr:clientData/>
  </xdr:twoCellAnchor>
  <xdr:twoCellAnchor>
    <xdr:from>
      <xdr:col>29</xdr:col>
      <xdr:colOff>272144</xdr:colOff>
      <xdr:row>0</xdr:row>
      <xdr:rowOff>125604</xdr:rowOff>
    </xdr:from>
    <xdr:to>
      <xdr:col>33</xdr:col>
      <xdr:colOff>41869</xdr:colOff>
      <xdr:row>2</xdr:row>
      <xdr:rowOff>73269</xdr:rowOff>
    </xdr:to>
    <xdr:sp macro="" textlink="">
      <xdr:nvSpPr>
        <xdr:cNvPr id="31" name="TextBox 30"/>
        <xdr:cNvSpPr txBox="1"/>
      </xdr:nvSpPr>
      <xdr:spPr>
        <a:xfrm>
          <a:off x="12968969" y="125604"/>
          <a:ext cx="1017500" cy="32866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000" b="1">
              <a:solidFill>
                <a:schemeClr val="bg1"/>
              </a:solidFill>
            </a:rPr>
            <a:t>Present</a:t>
          </a:r>
        </a:p>
      </xdr:txBody>
    </xdr:sp>
    <xdr:clientData/>
  </xdr:twoCellAnchor>
  <xdr:twoCellAnchor>
    <xdr:from>
      <xdr:col>33</xdr:col>
      <xdr:colOff>251209</xdr:colOff>
      <xdr:row>0</xdr:row>
      <xdr:rowOff>157006</xdr:rowOff>
    </xdr:from>
    <xdr:to>
      <xdr:col>36</xdr:col>
      <xdr:colOff>272142</xdr:colOff>
      <xdr:row>2</xdr:row>
      <xdr:rowOff>73272</xdr:rowOff>
    </xdr:to>
    <xdr:sp macro="" textlink="">
      <xdr:nvSpPr>
        <xdr:cNvPr id="32" name="TextBox 31"/>
        <xdr:cNvSpPr txBox="1"/>
      </xdr:nvSpPr>
      <xdr:spPr>
        <a:xfrm>
          <a:off x="14195809" y="157006"/>
          <a:ext cx="935333" cy="29726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000" b="1">
              <a:solidFill>
                <a:schemeClr val="bg1"/>
              </a:solidFill>
            </a:rPr>
            <a:t>Absent</a:t>
          </a:r>
          <a:endParaRPr lang="en-US" sz="1600" b="1">
            <a:solidFill>
              <a:schemeClr val="bg1"/>
            </a:solidFill>
          </a:endParaRPr>
        </a:p>
      </xdr:txBody>
    </xdr:sp>
    <xdr:clientData/>
  </xdr:twoCellAnchor>
  <xdr:twoCellAnchor>
    <xdr:from>
      <xdr:col>37</xdr:col>
      <xdr:colOff>198873</xdr:colOff>
      <xdr:row>0</xdr:row>
      <xdr:rowOff>146539</xdr:rowOff>
    </xdr:from>
    <xdr:to>
      <xdr:col>40</xdr:col>
      <xdr:colOff>20934</xdr:colOff>
      <xdr:row>2</xdr:row>
      <xdr:rowOff>104671</xdr:rowOff>
    </xdr:to>
    <xdr:sp macro="" textlink="">
      <xdr:nvSpPr>
        <xdr:cNvPr id="33" name="TextBox 32"/>
        <xdr:cNvSpPr txBox="1"/>
      </xdr:nvSpPr>
      <xdr:spPr>
        <a:xfrm>
          <a:off x="15343623" y="146539"/>
          <a:ext cx="803136" cy="33913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000" b="1">
              <a:solidFill>
                <a:schemeClr val="bg1"/>
              </a:solidFill>
            </a:rPr>
            <a:t>Leave</a:t>
          </a: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590550</xdr:colOff>
      <xdr:row>28</xdr:row>
      <xdr:rowOff>136071</xdr:rowOff>
    </xdr:to>
    <xdr:sp macro="" textlink="">
      <xdr:nvSpPr>
        <xdr:cNvPr id="2" name="Rectangle 1"/>
        <xdr:cNvSpPr/>
      </xdr:nvSpPr>
      <xdr:spPr>
        <a:xfrm>
          <a:off x="0" y="0"/>
          <a:ext cx="1802823" cy="5430487"/>
        </a:xfrm>
        <a:prstGeom prst="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b="1"/>
        </a:p>
      </xdr:txBody>
    </xdr:sp>
    <xdr:clientData/>
  </xdr:twoCellAnchor>
  <xdr:twoCellAnchor>
    <xdr:from>
      <xdr:col>2</xdr:col>
      <xdr:colOff>492672</xdr:colOff>
      <xdr:row>0</xdr:row>
      <xdr:rowOff>10467</xdr:rowOff>
    </xdr:from>
    <xdr:to>
      <xdr:col>39</xdr:col>
      <xdr:colOff>296883</xdr:colOff>
      <xdr:row>3</xdr:row>
      <xdr:rowOff>34889</xdr:rowOff>
    </xdr:to>
    <xdr:sp macro="" textlink="">
      <xdr:nvSpPr>
        <xdr:cNvPr id="3" name="Rectangle 2"/>
        <xdr:cNvSpPr/>
      </xdr:nvSpPr>
      <xdr:spPr>
        <a:xfrm>
          <a:off x="1711872" y="10467"/>
          <a:ext cx="14710836" cy="595922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160531</xdr:colOff>
      <xdr:row>3</xdr:row>
      <xdr:rowOff>161329</xdr:rowOff>
    </xdr:from>
    <xdr:to>
      <xdr:col>3</xdr:col>
      <xdr:colOff>322457</xdr:colOff>
      <xdr:row>5</xdr:row>
      <xdr:rowOff>151805</xdr:rowOff>
    </xdr:to>
    <xdr:sp macro="" textlink="">
      <xdr:nvSpPr>
        <xdr:cNvPr id="4" name="Rounded Rectangle 3">
          <a:hlinkClick xmlns:r="http://schemas.openxmlformats.org/officeDocument/2006/relationships" r:id="rId1"/>
        </xdr:cNvPr>
        <xdr:cNvSpPr/>
      </xdr:nvSpPr>
      <xdr:spPr>
        <a:xfrm>
          <a:off x="160531" y="718890"/>
          <a:ext cx="1973999" cy="385415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 b="1">
              <a:solidFill>
                <a:schemeClr val="bg2">
                  <a:lumMod val="90000"/>
                </a:schemeClr>
              </a:solidFill>
            </a:rPr>
            <a:t>January</a:t>
          </a:r>
        </a:p>
      </xdr:txBody>
    </xdr:sp>
    <xdr:clientData/>
  </xdr:twoCellAnchor>
  <xdr:twoCellAnchor>
    <xdr:from>
      <xdr:col>0</xdr:col>
      <xdr:colOff>150935</xdr:colOff>
      <xdr:row>16</xdr:row>
      <xdr:rowOff>48846</xdr:rowOff>
    </xdr:from>
    <xdr:to>
      <xdr:col>3</xdr:col>
      <xdr:colOff>312860</xdr:colOff>
      <xdr:row>17</xdr:row>
      <xdr:rowOff>186105</xdr:rowOff>
    </xdr:to>
    <xdr:sp macro="" textlink="">
      <xdr:nvSpPr>
        <xdr:cNvPr id="5" name="Rounded Rectangle 4">
          <a:hlinkClick xmlns:r="http://schemas.openxmlformats.org/officeDocument/2006/relationships" r:id="rId2"/>
        </xdr:cNvPr>
        <xdr:cNvSpPr/>
      </xdr:nvSpPr>
      <xdr:spPr>
        <a:xfrm>
          <a:off x="150935" y="3173046"/>
          <a:ext cx="1990725" cy="327759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0">
              <a:solidFill>
                <a:schemeClr val="bg2">
                  <a:lumMod val="90000"/>
                </a:schemeClr>
              </a:solidFill>
            </a:rPr>
            <a:t>July</a:t>
          </a:r>
        </a:p>
      </xdr:txBody>
    </xdr:sp>
    <xdr:clientData/>
  </xdr:twoCellAnchor>
  <xdr:twoCellAnchor>
    <xdr:from>
      <xdr:col>0</xdr:col>
      <xdr:colOff>146783</xdr:colOff>
      <xdr:row>18</xdr:row>
      <xdr:rowOff>58371</xdr:rowOff>
    </xdr:from>
    <xdr:to>
      <xdr:col>3</xdr:col>
      <xdr:colOff>308708</xdr:colOff>
      <xdr:row>20</xdr:row>
      <xdr:rowOff>3419</xdr:rowOff>
    </xdr:to>
    <xdr:sp macro="" textlink="">
      <xdr:nvSpPr>
        <xdr:cNvPr id="6" name="Rounded Rectangle 5">
          <a:hlinkClick xmlns:r="http://schemas.openxmlformats.org/officeDocument/2006/relationships" r:id="rId3"/>
        </xdr:cNvPr>
        <xdr:cNvSpPr/>
      </xdr:nvSpPr>
      <xdr:spPr>
        <a:xfrm>
          <a:off x="146783" y="3563571"/>
          <a:ext cx="1990725" cy="326048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0">
              <a:solidFill>
                <a:schemeClr val="bg2">
                  <a:lumMod val="90000"/>
                </a:schemeClr>
              </a:solidFill>
            </a:rPr>
            <a:t>August</a:t>
          </a:r>
        </a:p>
      </xdr:txBody>
    </xdr:sp>
    <xdr:clientData/>
  </xdr:twoCellAnchor>
  <xdr:twoCellAnchor>
    <xdr:from>
      <xdr:col>0</xdr:col>
      <xdr:colOff>161682</xdr:colOff>
      <xdr:row>7</xdr:row>
      <xdr:rowOff>182197</xdr:rowOff>
    </xdr:from>
    <xdr:to>
      <xdr:col>3</xdr:col>
      <xdr:colOff>323607</xdr:colOff>
      <xdr:row>9</xdr:row>
      <xdr:rowOff>142875</xdr:rowOff>
    </xdr:to>
    <xdr:sp macro="" textlink="">
      <xdr:nvSpPr>
        <xdr:cNvPr id="7" name="Rounded Rectangle 6">
          <a:hlinkClick xmlns:r="http://schemas.openxmlformats.org/officeDocument/2006/relationships" r:id="rId4"/>
        </xdr:cNvPr>
        <xdr:cNvSpPr/>
      </xdr:nvSpPr>
      <xdr:spPr>
        <a:xfrm>
          <a:off x="161682" y="1591897"/>
          <a:ext cx="1990725" cy="341678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0">
              <a:solidFill>
                <a:schemeClr val="bg2">
                  <a:lumMod val="90000"/>
                </a:schemeClr>
              </a:solidFill>
            </a:rPr>
            <a:t>March</a:t>
          </a:r>
        </a:p>
      </xdr:txBody>
    </xdr:sp>
    <xdr:clientData/>
  </xdr:twoCellAnchor>
  <xdr:twoCellAnchor>
    <xdr:from>
      <xdr:col>0</xdr:col>
      <xdr:colOff>139944</xdr:colOff>
      <xdr:row>10</xdr:row>
      <xdr:rowOff>10745</xdr:rowOff>
    </xdr:from>
    <xdr:to>
      <xdr:col>3</xdr:col>
      <xdr:colOff>301869</xdr:colOff>
      <xdr:row>11</xdr:row>
      <xdr:rowOff>148003</xdr:rowOff>
    </xdr:to>
    <xdr:sp macro="" textlink="">
      <xdr:nvSpPr>
        <xdr:cNvPr id="8" name="Rounded Rectangle 7">
          <a:hlinkClick xmlns:r="http://schemas.openxmlformats.org/officeDocument/2006/relationships" r:id="rId5"/>
        </xdr:cNvPr>
        <xdr:cNvSpPr/>
      </xdr:nvSpPr>
      <xdr:spPr>
        <a:xfrm>
          <a:off x="139944" y="1991945"/>
          <a:ext cx="1990725" cy="327758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0">
              <a:solidFill>
                <a:schemeClr val="bg2">
                  <a:lumMod val="90000"/>
                </a:schemeClr>
              </a:solidFill>
              <a:latin typeface="+mn-lt"/>
              <a:ea typeface="+mn-ea"/>
              <a:cs typeface="+mn-cs"/>
            </a:rPr>
            <a:t>April</a:t>
          </a:r>
        </a:p>
      </xdr:txBody>
    </xdr:sp>
    <xdr:clientData/>
  </xdr:twoCellAnchor>
  <xdr:twoCellAnchor>
    <xdr:from>
      <xdr:col>0</xdr:col>
      <xdr:colOff>154843</xdr:colOff>
      <xdr:row>5</xdr:row>
      <xdr:rowOff>209550</xdr:rowOff>
    </xdr:from>
    <xdr:to>
      <xdr:col>3</xdr:col>
      <xdr:colOff>316768</xdr:colOff>
      <xdr:row>7</xdr:row>
      <xdr:rowOff>125048</xdr:rowOff>
    </xdr:to>
    <xdr:sp macro="" textlink="">
      <xdr:nvSpPr>
        <xdr:cNvPr id="9" name="Rounded Rectangle 8">
          <a:hlinkClick xmlns:r="http://schemas.openxmlformats.org/officeDocument/2006/relationships" r:id="rId6"/>
        </xdr:cNvPr>
        <xdr:cNvSpPr/>
      </xdr:nvSpPr>
      <xdr:spPr>
        <a:xfrm>
          <a:off x="154843" y="1181100"/>
          <a:ext cx="1990725" cy="353648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0">
              <a:solidFill>
                <a:schemeClr val="bg2">
                  <a:lumMod val="90000"/>
                </a:schemeClr>
              </a:solidFill>
            </a:rPr>
            <a:t>February</a:t>
          </a:r>
        </a:p>
      </xdr:txBody>
    </xdr:sp>
    <xdr:clientData/>
  </xdr:twoCellAnchor>
  <xdr:twoCellAnchor>
    <xdr:from>
      <xdr:col>0</xdr:col>
      <xdr:colOff>149469</xdr:colOff>
      <xdr:row>12</xdr:row>
      <xdr:rowOff>14899</xdr:rowOff>
    </xdr:from>
    <xdr:to>
      <xdr:col>3</xdr:col>
      <xdr:colOff>311394</xdr:colOff>
      <xdr:row>13</xdr:row>
      <xdr:rowOff>176824</xdr:rowOff>
    </xdr:to>
    <xdr:sp macro="" textlink="">
      <xdr:nvSpPr>
        <xdr:cNvPr id="10" name="Rounded Rectangle 9">
          <a:hlinkClick xmlns:r="http://schemas.openxmlformats.org/officeDocument/2006/relationships" r:id="rId7"/>
        </xdr:cNvPr>
        <xdr:cNvSpPr/>
      </xdr:nvSpPr>
      <xdr:spPr>
        <a:xfrm>
          <a:off x="149469" y="2377099"/>
          <a:ext cx="1990725" cy="352425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0">
              <a:solidFill>
                <a:schemeClr val="bg2">
                  <a:lumMod val="90000"/>
                </a:schemeClr>
              </a:solidFill>
            </a:rPr>
            <a:t>May</a:t>
          </a:r>
        </a:p>
      </xdr:txBody>
    </xdr:sp>
    <xdr:clientData/>
  </xdr:twoCellAnchor>
  <xdr:twoCellAnchor>
    <xdr:from>
      <xdr:col>0</xdr:col>
      <xdr:colOff>153622</xdr:colOff>
      <xdr:row>14</xdr:row>
      <xdr:rowOff>36635</xdr:rowOff>
    </xdr:from>
    <xdr:to>
      <xdr:col>3</xdr:col>
      <xdr:colOff>315547</xdr:colOff>
      <xdr:row>16</xdr:row>
      <xdr:rowOff>732</xdr:rowOff>
    </xdr:to>
    <xdr:sp macro="" textlink="">
      <xdr:nvSpPr>
        <xdr:cNvPr id="11" name="Rounded Rectangle 10">
          <a:hlinkClick xmlns:r="http://schemas.openxmlformats.org/officeDocument/2006/relationships" r:id="rId8"/>
        </xdr:cNvPr>
        <xdr:cNvSpPr/>
      </xdr:nvSpPr>
      <xdr:spPr>
        <a:xfrm>
          <a:off x="153622" y="2779835"/>
          <a:ext cx="1990725" cy="345097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0">
              <a:solidFill>
                <a:schemeClr val="bg2">
                  <a:lumMod val="90000"/>
                </a:schemeClr>
              </a:solidFill>
            </a:rPr>
            <a:t>June</a:t>
          </a:r>
        </a:p>
      </xdr:txBody>
    </xdr:sp>
    <xdr:clientData/>
  </xdr:twoCellAnchor>
  <xdr:twoCellAnchor>
    <xdr:from>
      <xdr:col>0</xdr:col>
      <xdr:colOff>144096</xdr:colOff>
      <xdr:row>20</xdr:row>
      <xdr:rowOff>59838</xdr:rowOff>
    </xdr:from>
    <xdr:to>
      <xdr:col>3</xdr:col>
      <xdr:colOff>306021</xdr:colOff>
      <xdr:row>22</xdr:row>
      <xdr:rowOff>8061</xdr:rowOff>
    </xdr:to>
    <xdr:sp macro="" textlink="">
      <xdr:nvSpPr>
        <xdr:cNvPr id="12" name="Rounded Rectangle 11">
          <a:hlinkClick xmlns:r="http://schemas.openxmlformats.org/officeDocument/2006/relationships" r:id="rId9"/>
        </xdr:cNvPr>
        <xdr:cNvSpPr/>
      </xdr:nvSpPr>
      <xdr:spPr>
        <a:xfrm>
          <a:off x="144096" y="3946038"/>
          <a:ext cx="1990725" cy="329223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0">
              <a:solidFill>
                <a:schemeClr val="bg2">
                  <a:lumMod val="90000"/>
                </a:schemeClr>
              </a:solidFill>
            </a:rPr>
            <a:t>September</a:t>
          </a:r>
        </a:p>
      </xdr:txBody>
    </xdr:sp>
    <xdr:clientData/>
  </xdr:twoCellAnchor>
  <xdr:twoCellAnchor>
    <xdr:from>
      <xdr:col>0</xdr:col>
      <xdr:colOff>145561</xdr:colOff>
      <xdr:row>22</xdr:row>
      <xdr:rowOff>54462</xdr:rowOff>
    </xdr:from>
    <xdr:to>
      <xdr:col>3</xdr:col>
      <xdr:colOff>307486</xdr:colOff>
      <xdr:row>24</xdr:row>
      <xdr:rowOff>9280</xdr:rowOff>
    </xdr:to>
    <xdr:sp macro="" textlink="">
      <xdr:nvSpPr>
        <xdr:cNvPr id="13" name="Rounded Rectangle 12">
          <a:hlinkClick xmlns:r="http://schemas.openxmlformats.org/officeDocument/2006/relationships" r:id="rId10"/>
        </xdr:cNvPr>
        <xdr:cNvSpPr/>
      </xdr:nvSpPr>
      <xdr:spPr>
        <a:xfrm>
          <a:off x="145561" y="4321662"/>
          <a:ext cx="1990725" cy="335818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0">
              <a:solidFill>
                <a:schemeClr val="bg2">
                  <a:lumMod val="90000"/>
                </a:schemeClr>
              </a:solidFill>
            </a:rPr>
            <a:t>October</a:t>
          </a:r>
        </a:p>
      </xdr:txBody>
    </xdr:sp>
    <xdr:clientData/>
  </xdr:twoCellAnchor>
  <xdr:twoCellAnchor>
    <xdr:from>
      <xdr:col>0</xdr:col>
      <xdr:colOff>552145</xdr:colOff>
      <xdr:row>24</xdr:row>
      <xdr:rowOff>53349</xdr:rowOff>
    </xdr:from>
    <xdr:to>
      <xdr:col>4</xdr:col>
      <xdr:colOff>110045</xdr:colOff>
      <xdr:row>26</xdr:row>
      <xdr:rowOff>14029</xdr:rowOff>
    </xdr:to>
    <xdr:sp macro="" textlink="">
      <xdr:nvSpPr>
        <xdr:cNvPr id="14" name="Rounded Rectangle 13">
          <a:hlinkClick xmlns:r="http://schemas.openxmlformats.org/officeDocument/2006/relationships" r:id="rId11"/>
        </xdr:cNvPr>
        <xdr:cNvSpPr/>
      </xdr:nvSpPr>
      <xdr:spPr>
        <a:xfrm>
          <a:off x="552145" y="4701549"/>
          <a:ext cx="1996300" cy="351205"/>
        </a:xfrm>
        <a:prstGeom prst="roundRect">
          <a:avLst/>
        </a:prstGeom>
        <a:solidFill>
          <a:schemeClr val="bg1">
            <a:lumMod val="75000"/>
          </a:schemeClr>
        </a:solidFill>
        <a:ln>
          <a:solidFill>
            <a:schemeClr val="bg2">
              <a:lumMod val="9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 b="1">
              <a:solidFill>
                <a:schemeClr val="tx1"/>
              </a:solidFill>
              <a:latin typeface="+mn-lt"/>
              <a:ea typeface="+mn-ea"/>
              <a:cs typeface="+mn-cs"/>
            </a:rPr>
            <a:t>November</a:t>
          </a:r>
        </a:p>
      </xdr:txBody>
    </xdr:sp>
    <xdr:clientData/>
  </xdr:twoCellAnchor>
  <xdr:twoCellAnchor>
    <xdr:from>
      <xdr:col>0</xdr:col>
      <xdr:colOff>155086</xdr:colOff>
      <xdr:row>26</xdr:row>
      <xdr:rowOff>70583</xdr:rowOff>
    </xdr:from>
    <xdr:to>
      <xdr:col>3</xdr:col>
      <xdr:colOff>317011</xdr:colOff>
      <xdr:row>28</xdr:row>
      <xdr:rowOff>57150</xdr:rowOff>
    </xdr:to>
    <xdr:sp macro="" textlink="">
      <xdr:nvSpPr>
        <xdr:cNvPr id="15" name="Rounded Rectangle 14">
          <a:hlinkClick xmlns:r="http://schemas.openxmlformats.org/officeDocument/2006/relationships" r:id="rId12"/>
        </xdr:cNvPr>
        <xdr:cNvSpPr/>
      </xdr:nvSpPr>
      <xdr:spPr>
        <a:xfrm>
          <a:off x="155086" y="5109308"/>
          <a:ext cx="1990725" cy="367567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0">
              <a:solidFill>
                <a:schemeClr val="bg2">
                  <a:lumMod val="90000"/>
                </a:schemeClr>
              </a:solidFill>
            </a:rPr>
            <a:t>December</a:t>
          </a:r>
        </a:p>
      </xdr:txBody>
    </xdr:sp>
    <xdr:clientData/>
  </xdr:twoCellAnchor>
  <xdr:twoCellAnchor>
    <xdr:from>
      <xdr:col>40</xdr:col>
      <xdr:colOff>24741</xdr:colOff>
      <xdr:row>0</xdr:row>
      <xdr:rowOff>12370</xdr:rowOff>
    </xdr:from>
    <xdr:to>
      <xdr:col>56</xdr:col>
      <xdr:colOff>148442</xdr:colOff>
      <xdr:row>3</xdr:row>
      <xdr:rowOff>0</xdr:rowOff>
    </xdr:to>
    <xdr:sp macro="" textlink="">
      <xdr:nvSpPr>
        <xdr:cNvPr id="16" name="Rectangle 15"/>
        <xdr:cNvSpPr/>
      </xdr:nvSpPr>
      <xdr:spPr>
        <a:xfrm>
          <a:off x="16760166" y="12370"/>
          <a:ext cx="13372976" cy="559130"/>
        </a:xfrm>
        <a:prstGeom prst="rect">
          <a:avLst/>
        </a:prstGeom>
        <a:solidFill>
          <a:srgbClr val="FF9900"/>
        </a:solidFill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3200" b="1">
              <a:solidFill>
                <a:schemeClr val="tx1"/>
              </a:solidFill>
            </a:rPr>
            <a:t>MONTHLY </a:t>
          </a:r>
          <a:r>
            <a:rPr lang="en-US" sz="3600" b="1">
              <a:solidFill>
                <a:schemeClr val="tx1"/>
              </a:solidFill>
            </a:rPr>
            <a:t>REPORT</a:t>
          </a:r>
        </a:p>
      </xdr:txBody>
    </xdr:sp>
    <xdr:clientData/>
  </xdr:twoCellAnchor>
  <xdr:twoCellAnchor>
    <xdr:from>
      <xdr:col>7</xdr:col>
      <xdr:colOff>371468</xdr:colOff>
      <xdr:row>0</xdr:row>
      <xdr:rowOff>142874</xdr:rowOff>
    </xdr:from>
    <xdr:to>
      <xdr:col>8</xdr:col>
      <xdr:colOff>293804</xdr:colOff>
      <xdr:row>2</xdr:row>
      <xdr:rowOff>87187</xdr:rowOff>
    </xdr:to>
    <xdr:sp macro="" textlink="$K$4">
      <xdr:nvSpPr>
        <xdr:cNvPr id="17" name="TextBox 16"/>
        <xdr:cNvSpPr txBox="1"/>
      </xdr:nvSpPr>
      <xdr:spPr>
        <a:xfrm>
          <a:off x="4810118" y="142874"/>
          <a:ext cx="1055811" cy="3253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FDEDC129-0A7F-4630-BA04-D6C866EC8672}" type="TxLink">
            <a:rPr lang="en-US" sz="1600" b="1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30-Nov-25</a:t>
          </a:fld>
          <a:endParaRPr lang="en-US" sz="1600" b="1"/>
        </a:p>
      </xdr:txBody>
    </xdr:sp>
    <xdr:clientData/>
  </xdr:twoCellAnchor>
  <xdr:twoCellAnchor>
    <xdr:from>
      <xdr:col>2</xdr:col>
      <xdr:colOff>600209</xdr:colOff>
      <xdr:row>0</xdr:row>
      <xdr:rowOff>142385</xdr:rowOff>
    </xdr:from>
    <xdr:to>
      <xdr:col>4</xdr:col>
      <xdr:colOff>457200</xdr:colOff>
      <xdr:row>2</xdr:row>
      <xdr:rowOff>81328</xdr:rowOff>
    </xdr:to>
    <xdr:sp macro="" textlink="">
      <xdr:nvSpPr>
        <xdr:cNvPr id="18" name="TextBox 17"/>
        <xdr:cNvSpPr txBox="1"/>
      </xdr:nvSpPr>
      <xdr:spPr>
        <a:xfrm>
          <a:off x="1819409" y="142385"/>
          <a:ext cx="1076191" cy="319943"/>
        </a:xfrm>
        <a:prstGeom prst="rect">
          <a:avLst/>
        </a:prstGeom>
        <a:solidFill>
          <a:srgbClr val="FF99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000" b="1"/>
            <a:t>From</a:t>
          </a:r>
          <a:endParaRPr lang="en-US" sz="1100" b="1"/>
        </a:p>
      </xdr:txBody>
    </xdr:sp>
    <xdr:clientData/>
  </xdr:twoCellAnchor>
  <xdr:twoCellAnchor>
    <xdr:from>
      <xdr:col>4</xdr:col>
      <xdr:colOff>465257</xdr:colOff>
      <xdr:row>0</xdr:row>
      <xdr:rowOff>142385</xdr:rowOff>
    </xdr:from>
    <xdr:to>
      <xdr:col>6</xdr:col>
      <xdr:colOff>369029</xdr:colOff>
      <xdr:row>2</xdr:row>
      <xdr:rowOff>81326</xdr:rowOff>
    </xdr:to>
    <xdr:sp macro="" textlink="$H$4">
      <xdr:nvSpPr>
        <xdr:cNvPr id="19" name="TextBox 18"/>
        <xdr:cNvSpPr txBox="1"/>
      </xdr:nvSpPr>
      <xdr:spPr>
        <a:xfrm>
          <a:off x="2903657" y="142385"/>
          <a:ext cx="1122972" cy="31994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3786EEC2-464A-469E-BA84-9467F94783BA}" type="TxLink">
            <a:rPr lang="en-US" sz="1600" b="1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01-Nov-25</a:t>
          </a:fld>
          <a:endParaRPr lang="en-US" sz="2000" b="1"/>
        </a:p>
      </xdr:txBody>
    </xdr:sp>
    <xdr:clientData/>
  </xdr:twoCellAnchor>
  <xdr:twoCellAnchor>
    <xdr:from>
      <xdr:col>6</xdr:col>
      <xdr:colOff>516607</xdr:colOff>
      <xdr:row>0</xdr:row>
      <xdr:rowOff>142875</xdr:rowOff>
    </xdr:from>
    <xdr:to>
      <xdr:col>7</xdr:col>
      <xdr:colOff>368120</xdr:colOff>
      <xdr:row>2</xdr:row>
      <xdr:rowOff>81818</xdr:rowOff>
    </xdr:to>
    <xdr:sp macro="" textlink="">
      <xdr:nvSpPr>
        <xdr:cNvPr id="20" name="TextBox 19"/>
        <xdr:cNvSpPr txBox="1"/>
      </xdr:nvSpPr>
      <xdr:spPr>
        <a:xfrm>
          <a:off x="4174207" y="142875"/>
          <a:ext cx="632563" cy="319943"/>
        </a:xfrm>
        <a:prstGeom prst="rect">
          <a:avLst/>
        </a:prstGeom>
        <a:solidFill>
          <a:srgbClr val="FF99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000" b="1"/>
            <a:t>To</a:t>
          </a:r>
        </a:p>
      </xdr:txBody>
    </xdr:sp>
    <xdr:clientData/>
  </xdr:twoCellAnchor>
  <xdr:twoCellAnchor>
    <xdr:from>
      <xdr:col>9</xdr:col>
      <xdr:colOff>104774</xdr:colOff>
      <xdr:row>0</xdr:row>
      <xdr:rowOff>95251</xdr:rowOff>
    </xdr:from>
    <xdr:to>
      <xdr:col>28</xdr:col>
      <xdr:colOff>290396</xdr:colOff>
      <xdr:row>2</xdr:row>
      <xdr:rowOff>133351</xdr:rowOff>
    </xdr:to>
    <xdr:sp macro="" textlink="">
      <xdr:nvSpPr>
        <xdr:cNvPr id="21" name="Rectangle 20"/>
        <xdr:cNvSpPr/>
      </xdr:nvSpPr>
      <xdr:spPr>
        <a:xfrm>
          <a:off x="6470262" y="95251"/>
          <a:ext cx="6434951" cy="409807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110465</xdr:colOff>
      <xdr:row>1</xdr:row>
      <xdr:rowOff>12369</xdr:rowOff>
    </xdr:from>
    <xdr:to>
      <xdr:col>19</xdr:col>
      <xdr:colOff>148441</xdr:colOff>
      <xdr:row>2</xdr:row>
      <xdr:rowOff>23872</xdr:rowOff>
    </xdr:to>
    <xdr:sp macro="" textlink="">
      <xdr:nvSpPr>
        <xdr:cNvPr id="22" name="TextBox 21"/>
        <xdr:cNvSpPr txBox="1"/>
      </xdr:nvSpPr>
      <xdr:spPr>
        <a:xfrm>
          <a:off x="6644615" y="202869"/>
          <a:ext cx="3028826" cy="202003"/>
        </a:xfrm>
        <a:prstGeom prst="rect">
          <a:avLst/>
        </a:prstGeom>
        <a:solidFill>
          <a:schemeClr val="bg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800" b="1"/>
            <a:t>Dashboard For</a:t>
          </a:r>
          <a:r>
            <a:rPr lang="en-US" sz="1800" b="1" baseline="0"/>
            <a:t> The Month Of    </a:t>
          </a:r>
          <a:endParaRPr lang="en-US" sz="1800" b="1"/>
        </a:p>
      </xdr:txBody>
    </xdr:sp>
    <xdr:clientData/>
  </xdr:twoCellAnchor>
  <xdr:twoCellAnchor editAs="oneCell">
    <xdr:from>
      <xdr:col>9</xdr:col>
      <xdr:colOff>107128</xdr:colOff>
      <xdr:row>0</xdr:row>
      <xdr:rowOff>133530</xdr:rowOff>
    </xdr:from>
    <xdr:to>
      <xdr:col>10</xdr:col>
      <xdr:colOff>79042</xdr:colOff>
      <xdr:row>2</xdr:row>
      <xdr:rowOff>114536</xdr:rowOff>
    </xdr:to>
    <xdr:pic>
      <xdr:nvPicPr>
        <xdr:cNvPr id="23" name="Picture 22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 rot="5158119">
          <a:off x="6270020" y="152363"/>
          <a:ext cx="362006" cy="324340"/>
        </a:xfrm>
        <a:prstGeom prst="rect">
          <a:avLst/>
        </a:prstGeom>
      </xdr:spPr>
    </xdr:pic>
    <xdr:clientData/>
  </xdr:twoCellAnchor>
  <xdr:twoCellAnchor>
    <xdr:from>
      <xdr:col>19</xdr:col>
      <xdr:colOff>91824</xdr:colOff>
      <xdr:row>0</xdr:row>
      <xdr:rowOff>134103</xdr:rowOff>
    </xdr:from>
    <xdr:to>
      <xdr:col>24</xdr:col>
      <xdr:colOff>91823</xdr:colOff>
      <xdr:row>2</xdr:row>
      <xdr:rowOff>86479</xdr:rowOff>
    </xdr:to>
    <xdr:sp macro="" textlink="$O$4">
      <xdr:nvSpPr>
        <xdr:cNvPr id="24" name="TextBox 23"/>
        <xdr:cNvSpPr txBox="1"/>
      </xdr:nvSpPr>
      <xdr:spPr>
        <a:xfrm>
          <a:off x="9825909" y="134103"/>
          <a:ext cx="1614603" cy="324083"/>
        </a:xfrm>
        <a:prstGeom prst="rect">
          <a:avLst/>
        </a:prstGeom>
        <a:solidFill>
          <a:srgbClr val="FF99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34BAD96D-33B3-407C-843D-30EA8E6C9ECE}" type="TxLink">
            <a:rPr lang="en-US" sz="2400" b="1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November</a:t>
          </a:fld>
          <a:endParaRPr lang="en-US" sz="2400" b="1"/>
        </a:p>
      </xdr:txBody>
    </xdr:sp>
    <xdr:clientData/>
  </xdr:twoCellAnchor>
  <xdr:twoCellAnchor>
    <xdr:from>
      <xdr:col>29</xdr:col>
      <xdr:colOff>52336</xdr:colOff>
      <xdr:row>0</xdr:row>
      <xdr:rowOff>167472</xdr:rowOff>
    </xdr:from>
    <xdr:to>
      <xdr:col>30</xdr:col>
      <xdr:colOff>73270</xdr:colOff>
      <xdr:row>2</xdr:row>
      <xdr:rowOff>52335</xdr:rowOff>
    </xdr:to>
    <xdr:sp macro="" textlink="">
      <xdr:nvSpPr>
        <xdr:cNvPr id="25" name="TextBox 24"/>
        <xdr:cNvSpPr txBox="1"/>
      </xdr:nvSpPr>
      <xdr:spPr>
        <a:xfrm>
          <a:off x="12749161" y="167472"/>
          <a:ext cx="306684" cy="26586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29</xdr:col>
      <xdr:colOff>167471</xdr:colOff>
      <xdr:row>1</xdr:row>
      <xdr:rowOff>62802</xdr:rowOff>
    </xdr:from>
    <xdr:to>
      <xdr:col>30</xdr:col>
      <xdr:colOff>20933</xdr:colOff>
      <xdr:row>1</xdr:row>
      <xdr:rowOff>167472</xdr:rowOff>
    </xdr:to>
    <xdr:sp macro="" textlink="">
      <xdr:nvSpPr>
        <xdr:cNvPr id="26" name="Flowchart: Connector 25"/>
        <xdr:cNvSpPr/>
      </xdr:nvSpPr>
      <xdr:spPr>
        <a:xfrm>
          <a:off x="12864296" y="253302"/>
          <a:ext cx="139212" cy="104670"/>
        </a:xfrm>
        <a:prstGeom prst="flowChartConnector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noFill/>
          </a:endParaRPr>
        </a:p>
      </xdr:txBody>
    </xdr:sp>
    <xdr:clientData/>
  </xdr:twoCellAnchor>
  <xdr:twoCellAnchor>
    <xdr:from>
      <xdr:col>33</xdr:col>
      <xdr:colOff>136071</xdr:colOff>
      <xdr:row>0</xdr:row>
      <xdr:rowOff>167473</xdr:rowOff>
    </xdr:from>
    <xdr:to>
      <xdr:col>34</xdr:col>
      <xdr:colOff>52334</xdr:colOff>
      <xdr:row>2</xdr:row>
      <xdr:rowOff>73270</xdr:rowOff>
    </xdr:to>
    <xdr:sp macro="" textlink="">
      <xdr:nvSpPr>
        <xdr:cNvPr id="27" name="TextBox 26"/>
        <xdr:cNvSpPr txBox="1"/>
      </xdr:nvSpPr>
      <xdr:spPr>
        <a:xfrm>
          <a:off x="14080671" y="167473"/>
          <a:ext cx="202013" cy="28679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33</xdr:col>
      <xdr:colOff>141933</xdr:colOff>
      <xdr:row>1</xdr:row>
      <xdr:rowOff>79131</xdr:rowOff>
    </xdr:from>
    <xdr:to>
      <xdr:col>33</xdr:col>
      <xdr:colOff>278005</xdr:colOff>
      <xdr:row>1</xdr:row>
      <xdr:rowOff>183801</xdr:rowOff>
    </xdr:to>
    <xdr:sp macro="" textlink="">
      <xdr:nvSpPr>
        <xdr:cNvPr id="28" name="Flowchart: Connector 27"/>
        <xdr:cNvSpPr/>
      </xdr:nvSpPr>
      <xdr:spPr>
        <a:xfrm>
          <a:off x="14086533" y="269631"/>
          <a:ext cx="136072" cy="104670"/>
        </a:xfrm>
        <a:prstGeom prst="flowChartConnector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noFill/>
          </a:endParaRPr>
        </a:p>
      </xdr:txBody>
    </xdr:sp>
    <xdr:clientData/>
  </xdr:twoCellAnchor>
  <xdr:twoCellAnchor>
    <xdr:from>
      <xdr:col>37</xdr:col>
      <xdr:colOff>83734</xdr:colOff>
      <xdr:row>0</xdr:row>
      <xdr:rowOff>147795</xdr:rowOff>
    </xdr:from>
    <xdr:to>
      <xdr:col>37</xdr:col>
      <xdr:colOff>272141</xdr:colOff>
      <xdr:row>2</xdr:row>
      <xdr:rowOff>41869</xdr:rowOff>
    </xdr:to>
    <xdr:sp macro="" textlink="">
      <xdr:nvSpPr>
        <xdr:cNvPr id="29" name="TextBox 28"/>
        <xdr:cNvSpPr txBox="1"/>
      </xdr:nvSpPr>
      <xdr:spPr>
        <a:xfrm>
          <a:off x="15228484" y="147795"/>
          <a:ext cx="188407" cy="27507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36</xdr:col>
      <xdr:colOff>270022</xdr:colOff>
      <xdr:row>1</xdr:row>
      <xdr:rowOff>84993</xdr:rowOff>
    </xdr:from>
    <xdr:to>
      <xdr:col>37</xdr:col>
      <xdr:colOff>119320</xdr:colOff>
      <xdr:row>2</xdr:row>
      <xdr:rowOff>1257</xdr:rowOff>
    </xdr:to>
    <xdr:sp macro="" textlink="">
      <xdr:nvSpPr>
        <xdr:cNvPr id="30" name="Flowchart: Connector 29"/>
        <xdr:cNvSpPr/>
      </xdr:nvSpPr>
      <xdr:spPr>
        <a:xfrm>
          <a:off x="15397361" y="279590"/>
          <a:ext cx="136072" cy="110861"/>
        </a:xfrm>
        <a:prstGeom prst="flowChartConnector">
          <a:avLst/>
        </a:prstGeom>
        <a:solidFill>
          <a:srgbClr val="FFFF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noFill/>
          </a:endParaRPr>
        </a:p>
      </xdr:txBody>
    </xdr:sp>
    <xdr:clientData/>
  </xdr:twoCellAnchor>
  <xdr:twoCellAnchor>
    <xdr:from>
      <xdr:col>29</xdr:col>
      <xdr:colOff>272144</xdr:colOff>
      <xdr:row>0</xdr:row>
      <xdr:rowOff>125604</xdr:rowOff>
    </xdr:from>
    <xdr:to>
      <xdr:col>33</xdr:col>
      <xdr:colOff>41869</xdr:colOff>
      <xdr:row>2</xdr:row>
      <xdr:rowOff>73269</xdr:rowOff>
    </xdr:to>
    <xdr:sp macro="" textlink="">
      <xdr:nvSpPr>
        <xdr:cNvPr id="31" name="TextBox 30"/>
        <xdr:cNvSpPr txBox="1"/>
      </xdr:nvSpPr>
      <xdr:spPr>
        <a:xfrm>
          <a:off x="12968969" y="125604"/>
          <a:ext cx="1017500" cy="32866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000" b="1">
              <a:solidFill>
                <a:schemeClr val="bg1"/>
              </a:solidFill>
            </a:rPr>
            <a:t>Present</a:t>
          </a:r>
        </a:p>
      </xdr:txBody>
    </xdr:sp>
    <xdr:clientData/>
  </xdr:twoCellAnchor>
  <xdr:twoCellAnchor>
    <xdr:from>
      <xdr:col>33</xdr:col>
      <xdr:colOff>251209</xdr:colOff>
      <xdr:row>0</xdr:row>
      <xdr:rowOff>157006</xdr:rowOff>
    </xdr:from>
    <xdr:to>
      <xdr:col>36</xdr:col>
      <xdr:colOff>272142</xdr:colOff>
      <xdr:row>2</xdr:row>
      <xdr:rowOff>73272</xdr:rowOff>
    </xdr:to>
    <xdr:sp macro="" textlink="">
      <xdr:nvSpPr>
        <xdr:cNvPr id="32" name="TextBox 31"/>
        <xdr:cNvSpPr txBox="1"/>
      </xdr:nvSpPr>
      <xdr:spPr>
        <a:xfrm>
          <a:off x="14195809" y="157006"/>
          <a:ext cx="935333" cy="29726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000" b="1">
              <a:solidFill>
                <a:schemeClr val="bg1"/>
              </a:solidFill>
            </a:rPr>
            <a:t>Absent</a:t>
          </a:r>
          <a:endParaRPr lang="en-US" sz="1600" b="1">
            <a:solidFill>
              <a:schemeClr val="bg1"/>
            </a:solidFill>
          </a:endParaRPr>
        </a:p>
      </xdr:txBody>
    </xdr:sp>
    <xdr:clientData/>
  </xdr:twoCellAnchor>
  <xdr:twoCellAnchor>
    <xdr:from>
      <xdr:col>37</xdr:col>
      <xdr:colOff>81934</xdr:colOff>
      <xdr:row>0</xdr:row>
      <xdr:rowOff>146539</xdr:rowOff>
    </xdr:from>
    <xdr:to>
      <xdr:col>39</xdr:col>
      <xdr:colOff>276531</xdr:colOff>
      <xdr:row>2</xdr:row>
      <xdr:rowOff>51209</xdr:rowOff>
    </xdr:to>
    <xdr:sp macro="" textlink="">
      <xdr:nvSpPr>
        <xdr:cNvPr id="33" name="TextBox 32"/>
        <xdr:cNvSpPr txBox="1"/>
      </xdr:nvSpPr>
      <xdr:spPr>
        <a:xfrm>
          <a:off x="15496047" y="146539"/>
          <a:ext cx="819355" cy="2938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000" b="1">
              <a:solidFill>
                <a:schemeClr val="bg1"/>
              </a:solidFill>
            </a:rPr>
            <a:t>Leave</a:t>
          </a: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</xdr:rowOff>
    </xdr:from>
    <xdr:to>
      <xdr:col>2</xdr:col>
      <xdr:colOff>590550</xdr:colOff>
      <xdr:row>28</xdr:row>
      <xdr:rowOff>122116</xdr:rowOff>
    </xdr:to>
    <xdr:sp macro="" textlink="">
      <xdr:nvSpPr>
        <xdr:cNvPr id="2" name="Rectangle 1"/>
        <xdr:cNvSpPr/>
      </xdr:nvSpPr>
      <xdr:spPr>
        <a:xfrm>
          <a:off x="0" y="1"/>
          <a:ext cx="1811704" cy="5641730"/>
        </a:xfrm>
        <a:prstGeom prst="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b="1"/>
        </a:p>
      </xdr:txBody>
    </xdr:sp>
    <xdr:clientData/>
  </xdr:twoCellAnchor>
  <xdr:twoCellAnchor>
    <xdr:from>
      <xdr:col>2</xdr:col>
      <xdr:colOff>492672</xdr:colOff>
      <xdr:row>0</xdr:row>
      <xdr:rowOff>10467</xdr:rowOff>
    </xdr:from>
    <xdr:to>
      <xdr:col>40</xdr:col>
      <xdr:colOff>296883</xdr:colOff>
      <xdr:row>3</xdr:row>
      <xdr:rowOff>34889</xdr:rowOff>
    </xdr:to>
    <xdr:sp macro="" textlink="">
      <xdr:nvSpPr>
        <xdr:cNvPr id="3" name="Rectangle 2"/>
        <xdr:cNvSpPr/>
      </xdr:nvSpPr>
      <xdr:spPr>
        <a:xfrm>
          <a:off x="1711872" y="10467"/>
          <a:ext cx="14710836" cy="595922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159919</xdr:colOff>
      <xdr:row>3</xdr:row>
      <xdr:rowOff>149714</xdr:rowOff>
    </xdr:from>
    <xdr:to>
      <xdr:col>3</xdr:col>
      <xdr:colOff>321843</xdr:colOff>
      <xdr:row>5</xdr:row>
      <xdr:rowOff>140190</xdr:rowOff>
    </xdr:to>
    <xdr:sp macro="" textlink="">
      <xdr:nvSpPr>
        <xdr:cNvPr id="4" name="Rounded Rectangle 3">
          <a:hlinkClick xmlns:r="http://schemas.openxmlformats.org/officeDocument/2006/relationships" r:id="rId1"/>
        </xdr:cNvPr>
        <xdr:cNvSpPr/>
      </xdr:nvSpPr>
      <xdr:spPr>
        <a:xfrm>
          <a:off x="159919" y="713694"/>
          <a:ext cx="2004260" cy="391529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0">
              <a:solidFill>
                <a:schemeClr val="bg2">
                  <a:lumMod val="90000"/>
                </a:schemeClr>
              </a:solidFill>
              <a:latin typeface="+mn-lt"/>
              <a:ea typeface="+mn-ea"/>
              <a:cs typeface="+mn-cs"/>
            </a:rPr>
            <a:t>January</a:t>
          </a:r>
        </a:p>
      </xdr:txBody>
    </xdr:sp>
    <xdr:clientData/>
  </xdr:twoCellAnchor>
  <xdr:twoCellAnchor>
    <xdr:from>
      <xdr:col>0</xdr:col>
      <xdr:colOff>150935</xdr:colOff>
      <xdr:row>16</xdr:row>
      <xdr:rowOff>48846</xdr:rowOff>
    </xdr:from>
    <xdr:to>
      <xdr:col>3</xdr:col>
      <xdr:colOff>312860</xdr:colOff>
      <xdr:row>17</xdr:row>
      <xdr:rowOff>186105</xdr:rowOff>
    </xdr:to>
    <xdr:sp macro="" textlink="">
      <xdr:nvSpPr>
        <xdr:cNvPr id="5" name="Rounded Rectangle 4">
          <a:hlinkClick xmlns:r="http://schemas.openxmlformats.org/officeDocument/2006/relationships" r:id="rId2"/>
        </xdr:cNvPr>
        <xdr:cNvSpPr/>
      </xdr:nvSpPr>
      <xdr:spPr>
        <a:xfrm>
          <a:off x="150935" y="3173046"/>
          <a:ext cx="1990725" cy="327759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0">
              <a:solidFill>
                <a:schemeClr val="bg2">
                  <a:lumMod val="90000"/>
                </a:schemeClr>
              </a:solidFill>
            </a:rPr>
            <a:t>July</a:t>
          </a:r>
        </a:p>
      </xdr:txBody>
    </xdr:sp>
    <xdr:clientData/>
  </xdr:twoCellAnchor>
  <xdr:twoCellAnchor>
    <xdr:from>
      <xdr:col>0</xdr:col>
      <xdr:colOff>146783</xdr:colOff>
      <xdr:row>18</xdr:row>
      <xdr:rowOff>58371</xdr:rowOff>
    </xdr:from>
    <xdr:to>
      <xdr:col>3</xdr:col>
      <xdr:colOff>308708</xdr:colOff>
      <xdr:row>20</xdr:row>
      <xdr:rowOff>3419</xdr:rowOff>
    </xdr:to>
    <xdr:sp macro="" textlink="">
      <xdr:nvSpPr>
        <xdr:cNvPr id="6" name="Rounded Rectangle 5">
          <a:hlinkClick xmlns:r="http://schemas.openxmlformats.org/officeDocument/2006/relationships" r:id="rId3"/>
        </xdr:cNvPr>
        <xdr:cNvSpPr/>
      </xdr:nvSpPr>
      <xdr:spPr>
        <a:xfrm>
          <a:off x="146783" y="3563571"/>
          <a:ext cx="1990725" cy="326048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0">
              <a:solidFill>
                <a:schemeClr val="bg2">
                  <a:lumMod val="90000"/>
                </a:schemeClr>
              </a:solidFill>
            </a:rPr>
            <a:t>August</a:t>
          </a:r>
        </a:p>
      </xdr:txBody>
    </xdr:sp>
    <xdr:clientData/>
  </xdr:twoCellAnchor>
  <xdr:twoCellAnchor>
    <xdr:from>
      <xdr:col>0</xdr:col>
      <xdr:colOff>161682</xdr:colOff>
      <xdr:row>7</xdr:row>
      <xdr:rowOff>182197</xdr:rowOff>
    </xdr:from>
    <xdr:to>
      <xdr:col>3</xdr:col>
      <xdr:colOff>323607</xdr:colOff>
      <xdr:row>9</xdr:row>
      <xdr:rowOff>142875</xdr:rowOff>
    </xdr:to>
    <xdr:sp macro="" textlink="">
      <xdr:nvSpPr>
        <xdr:cNvPr id="7" name="Rounded Rectangle 6">
          <a:hlinkClick xmlns:r="http://schemas.openxmlformats.org/officeDocument/2006/relationships" r:id="rId4"/>
        </xdr:cNvPr>
        <xdr:cNvSpPr/>
      </xdr:nvSpPr>
      <xdr:spPr>
        <a:xfrm>
          <a:off x="161682" y="1591897"/>
          <a:ext cx="1990725" cy="341678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0">
              <a:solidFill>
                <a:schemeClr val="bg2">
                  <a:lumMod val="90000"/>
                </a:schemeClr>
              </a:solidFill>
            </a:rPr>
            <a:t>March</a:t>
          </a:r>
        </a:p>
      </xdr:txBody>
    </xdr:sp>
    <xdr:clientData/>
  </xdr:twoCellAnchor>
  <xdr:twoCellAnchor>
    <xdr:from>
      <xdr:col>0</xdr:col>
      <xdr:colOff>139944</xdr:colOff>
      <xdr:row>10</xdr:row>
      <xdr:rowOff>10745</xdr:rowOff>
    </xdr:from>
    <xdr:to>
      <xdr:col>3</xdr:col>
      <xdr:colOff>301869</xdr:colOff>
      <xdr:row>11</xdr:row>
      <xdr:rowOff>148003</xdr:rowOff>
    </xdr:to>
    <xdr:sp macro="" textlink="">
      <xdr:nvSpPr>
        <xdr:cNvPr id="8" name="Rounded Rectangle 7">
          <a:hlinkClick xmlns:r="http://schemas.openxmlformats.org/officeDocument/2006/relationships" r:id="rId5"/>
        </xdr:cNvPr>
        <xdr:cNvSpPr/>
      </xdr:nvSpPr>
      <xdr:spPr>
        <a:xfrm>
          <a:off x="139944" y="1991945"/>
          <a:ext cx="1990725" cy="327758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0">
              <a:solidFill>
                <a:schemeClr val="bg2">
                  <a:lumMod val="90000"/>
                </a:schemeClr>
              </a:solidFill>
              <a:latin typeface="+mn-lt"/>
              <a:ea typeface="+mn-ea"/>
              <a:cs typeface="+mn-cs"/>
            </a:rPr>
            <a:t>April</a:t>
          </a:r>
        </a:p>
      </xdr:txBody>
    </xdr:sp>
    <xdr:clientData/>
  </xdr:twoCellAnchor>
  <xdr:twoCellAnchor>
    <xdr:from>
      <xdr:col>0</xdr:col>
      <xdr:colOff>154843</xdr:colOff>
      <xdr:row>5</xdr:row>
      <xdr:rowOff>209550</xdr:rowOff>
    </xdr:from>
    <xdr:to>
      <xdr:col>3</xdr:col>
      <xdr:colOff>316768</xdr:colOff>
      <xdr:row>7</xdr:row>
      <xdr:rowOff>125048</xdr:rowOff>
    </xdr:to>
    <xdr:sp macro="" textlink="">
      <xdr:nvSpPr>
        <xdr:cNvPr id="9" name="Rounded Rectangle 8">
          <a:hlinkClick xmlns:r="http://schemas.openxmlformats.org/officeDocument/2006/relationships" r:id="rId6"/>
        </xdr:cNvPr>
        <xdr:cNvSpPr/>
      </xdr:nvSpPr>
      <xdr:spPr>
        <a:xfrm>
          <a:off x="154843" y="1181100"/>
          <a:ext cx="1990725" cy="353648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0">
              <a:solidFill>
                <a:schemeClr val="bg2">
                  <a:lumMod val="90000"/>
                </a:schemeClr>
              </a:solidFill>
            </a:rPr>
            <a:t>February</a:t>
          </a:r>
        </a:p>
      </xdr:txBody>
    </xdr:sp>
    <xdr:clientData/>
  </xdr:twoCellAnchor>
  <xdr:twoCellAnchor>
    <xdr:from>
      <xdr:col>0</xdr:col>
      <xdr:colOff>149469</xdr:colOff>
      <xdr:row>12</xdr:row>
      <xdr:rowOff>14899</xdr:rowOff>
    </xdr:from>
    <xdr:to>
      <xdr:col>3</xdr:col>
      <xdr:colOff>311394</xdr:colOff>
      <xdr:row>13</xdr:row>
      <xdr:rowOff>176824</xdr:rowOff>
    </xdr:to>
    <xdr:sp macro="" textlink="">
      <xdr:nvSpPr>
        <xdr:cNvPr id="10" name="Rounded Rectangle 9">
          <a:hlinkClick xmlns:r="http://schemas.openxmlformats.org/officeDocument/2006/relationships" r:id="rId7"/>
        </xdr:cNvPr>
        <xdr:cNvSpPr/>
      </xdr:nvSpPr>
      <xdr:spPr>
        <a:xfrm>
          <a:off x="149469" y="2377099"/>
          <a:ext cx="1990725" cy="352425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0">
              <a:solidFill>
                <a:schemeClr val="bg2">
                  <a:lumMod val="90000"/>
                </a:schemeClr>
              </a:solidFill>
            </a:rPr>
            <a:t>May</a:t>
          </a:r>
        </a:p>
      </xdr:txBody>
    </xdr:sp>
    <xdr:clientData/>
  </xdr:twoCellAnchor>
  <xdr:twoCellAnchor>
    <xdr:from>
      <xdr:col>0</xdr:col>
      <xdr:colOff>153622</xdr:colOff>
      <xdr:row>14</xdr:row>
      <xdr:rowOff>36635</xdr:rowOff>
    </xdr:from>
    <xdr:to>
      <xdr:col>3</xdr:col>
      <xdr:colOff>315547</xdr:colOff>
      <xdr:row>16</xdr:row>
      <xdr:rowOff>732</xdr:rowOff>
    </xdr:to>
    <xdr:sp macro="" textlink="">
      <xdr:nvSpPr>
        <xdr:cNvPr id="11" name="Rounded Rectangle 10">
          <a:hlinkClick xmlns:r="http://schemas.openxmlformats.org/officeDocument/2006/relationships" r:id="rId8"/>
        </xdr:cNvPr>
        <xdr:cNvSpPr/>
      </xdr:nvSpPr>
      <xdr:spPr>
        <a:xfrm>
          <a:off x="153622" y="2779835"/>
          <a:ext cx="1990725" cy="345097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0">
              <a:solidFill>
                <a:schemeClr val="bg2">
                  <a:lumMod val="90000"/>
                </a:schemeClr>
              </a:solidFill>
            </a:rPr>
            <a:t>June</a:t>
          </a:r>
        </a:p>
      </xdr:txBody>
    </xdr:sp>
    <xdr:clientData/>
  </xdr:twoCellAnchor>
  <xdr:twoCellAnchor>
    <xdr:from>
      <xdr:col>0</xdr:col>
      <xdr:colOff>144096</xdr:colOff>
      <xdr:row>20</xdr:row>
      <xdr:rowOff>59838</xdr:rowOff>
    </xdr:from>
    <xdr:to>
      <xdr:col>3</xdr:col>
      <xdr:colOff>306021</xdr:colOff>
      <xdr:row>22</xdr:row>
      <xdr:rowOff>8061</xdr:rowOff>
    </xdr:to>
    <xdr:sp macro="" textlink="">
      <xdr:nvSpPr>
        <xdr:cNvPr id="12" name="Rounded Rectangle 11">
          <a:hlinkClick xmlns:r="http://schemas.openxmlformats.org/officeDocument/2006/relationships" r:id="rId9"/>
        </xdr:cNvPr>
        <xdr:cNvSpPr/>
      </xdr:nvSpPr>
      <xdr:spPr>
        <a:xfrm>
          <a:off x="144096" y="3946038"/>
          <a:ext cx="1990725" cy="329223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0">
              <a:solidFill>
                <a:schemeClr val="bg2">
                  <a:lumMod val="90000"/>
                </a:schemeClr>
              </a:solidFill>
            </a:rPr>
            <a:t>September</a:t>
          </a:r>
        </a:p>
      </xdr:txBody>
    </xdr:sp>
    <xdr:clientData/>
  </xdr:twoCellAnchor>
  <xdr:twoCellAnchor>
    <xdr:from>
      <xdr:col>0</xdr:col>
      <xdr:colOff>145561</xdr:colOff>
      <xdr:row>22</xdr:row>
      <xdr:rowOff>54462</xdr:rowOff>
    </xdr:from>
    <xdr:to>
      <xdr:col>3</xdr:col>
      <xdr:colOff>307486</xdr:colOff>
      <xdr:row>24</xdr:row>
      <xdr:rowOff>9280</xdr:rowOff>
    </xdr:to>
    <xdr:sp macro="" textlink="">
      <xdr:nvSpPr>
        <xdr:cNvPr id="13" name="Rounded Rectangle 12">
          <a:hlinkClick xmlns:r="http://schemas.openxmlformats.org/officeDocument/2006/relationships" r:id="rId10"/>
        </xdr:cNvPr>
        <xdr:cNvSpPr/>
      </xdr:nvSpPr>
      <xdr:spPr>
        <a:xfrm>
          <a:off x="145561" y="4321662"/>
          <a:ext cx="1990725" cy="335818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0">
              <a:solidFill>
                <a:schemeClr val="bg2">
                  <a:lumMod val="90000"/>
                </a:schemeClr>
              </a:solidFill>
            </a:rPr>
            <a:t>October</a:t>
          </a:r>
        </a:p>
      </xdr:txBody>
    </xdr:sp>
    <xdr:clientData/>
  </xdr:twoCellAnchor>
  <xdr:twoCellAnchor>
    <xdr:from>
      <xdr:col>0</xdr:col>
      <xdr:colOff>160459</xdr:colOff>
      <xdr:row>24</xdr:row>
      <xdr:rowOff>64965</xdr:rowOff>
    </xdr:from>
    <xdr:to>
      <xdr:col>3</xdr:col>
      <xdr:colOff>322384</xdr:colOff>
      <xdr:row>26</xdr:row>
      <xdr:rowOff>25645</xdr:rowOff>
    </xdr:to>
    <xdr:sp macro="" textlink="">
      <xdr:nvSpPr>
        <xdr:cNvPr id="14" name="Rounded Rectangle 13">
          <a:hlinkClick xmlns:r="http://schemas.openxmlformats.org/officeDocument/2006/relationships" r:id="rId11"/>
        </xdr:cNvPr>
        <xdr:cNvSpPr/>
      </xdr:nvSpPr>
      <xdr:spPr>
        <a:xfrm>
          <a:off x="160459" y="4713165"/>
          <a:ext cx="1990725" cy="351205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0">
              <a:solidFill>
                <a:schemeClr val="bg2">
                  <a:lumMod val="90000"/>
                </a:schemeClr>
              </a:solidFill>
            </a:rPr>
            <a:t>November</a:t>
          </a:r>
        </a:p>
      </xdr:txBody>
    </xdr:sp>
    <xdr:clientData/>
  </xdr:twoCellAnchor>
  <xdr:twoCellAnchor>
    <xdr:from>
      <xdr:col>0</xdr:col>
      <xdr:colOff>469411</xdr:colOff>
      <xdr:row>26</xdr:row>
      <xdr:rowOff>80108</xdr:rowOff>
    </xdr:from>
    <xdr:to>
      <xdr:col>4</xdr:col>
      <xdr:colOff>21737</xdr:colOff>
      <xdr:row>28</xdr:row>
      <xdr:rowOff>66675</xdr:rowOff>
    </xdr:to>
    <xdr:sp macro="" textlink="">
      <xdr:nvSpPr>
        <xdr:cNvPr id="15" name="Rounded Rectangle 14">
          <a:hlinkClick xmlns:r="http://schemas.openxmlformats.org/officeDocument/2006/relationships" r:id="rId12"/>
        </xdr:cNvPr>
        <xdr:cNvSpPr/>
      </xdr:nvSpPr>
      <xdr:spPr>
        <a:xfrm>
          <a:off x="469411" y="5118833"/>
          <a:ext cx="1990726" cy="367567"/>
        </a:xfrm>
        <a:prstGeom prst="roundRect">
          <a:avLst/>
        </a:prstGeom>
        <a:solidFill>
          <a:schemeClr val="bg1">
            <a:lumMod val="75000"/>
          </a:schemeClr>
        </a:solidFill>
        <a:ln w="9525">
          <a:solidFill>
            <a:schemeClr val="bg2">
              <a:lumMod val="9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 b="1">
              <a:solidFill>
                <a:schemeClr val="tx1"/>
              </a:solidFill>
              <a:latin typeface="+mn-lt"/>
              <a:ea typeface="+mn-ea"/>
              <a:cs typeface="+mn-cs"/>
            </a:rPr>
            <a:t>December</a:t>
          </a:r>
        </a:p>
      </xdr:txBody>
    </xdr:sp>
    <xdr:clientData/>
  </xdr:twoCellAnchor>
  <xdr:twoCellAnchor>
    <xdr:from>
      <xdr:col>41</xdr:col>
      <xdr:colOff>24741</xdr:colOff>
      <xdr:row>0</xdr:row>
      <xdr:rowOff>12370</xdr:rowOff>
    </xdr:from>
    <xdr:to>
      <xdr:col>57</xdr:col>
      <xdr:colOff>148442</xdr:colOff>
      <xdr:row>3</xdr:row>
      <xdr:rowOff>0</xdr:rowOff>
    </xdr:to>
    <xdr:sp macro="" textlink="">
      <xdr:nvSpPr>
        <xdr:cNvPr id="16" name="Rectangle 15"/>
        <xdr:cNvSpPr/>
      </xdr:nvSpPr>
      <xdr:spPr>
        <a:xfrm>
          <a:off x="16760166" y="12370"/>
          <a:ext cx="13372976" cy="559130"/>
        </a:xfrm>
        <a:prstGeom prst="rect">
          <a:avLst/>
        </a:prstGeom>
        <a:solidFill>
          <a:srgbClr val="FF9900"/>
        </a:solidFill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3200" b="1">
              <a:solidFill>
                <a:schemeClr val="tx1"/>
              </a:solidFill>
            </a:rPr>
            <a:t>MONTHLY </a:t>
          </a:r>
          <a:r>
            <a:rPr lang="en-US" sz="3600" b="1">
              <a:solidFill>
                <a:schemeClr val="tx1"/>
              </a:solidFill>
            </a:rPr>
            <a:t>REPORT</a:t>
          </a:r>
        </a:p>
      </xdr:txBody>
    </xdr:sp>
    <xdr:clientData/>
  </xdr:twoCellAnchor>
  <xdr:twoCellAnchor>
    <xdr:from>
      <xdr:col>7</xdr:col>
      <xdr:colOff>371468</xdr:colOff>
      <xdr:row>0</xdr:row>
      <xdr:rowOff>142874</xdr:rowOff>
    </xdr:from>
    <xdr:to>
      <xdr:col>8</xdr:col>
      <xdr:colOff>293804</xdr:colOff>
      <xdr:row>2</xdr:row>
      <xdr:rowOff>87187</xdr:rowOff>
    </xdr:to>
    <xdr:sp macro="" textlink="$K$4">
      <xdr:nvSpPr>
        <xdr:cNvPr id="17" name="TextBox 16"/>
        <xdr:cNvSpPr txBox="1"/>
      </xdr:nvSpPr>
      <xdr:spPr>
        <a:xfrm>
          <a:off x="4810118" y="142874"/>
          <a:ext cx="1055811" cy="3253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FDEDC129-0A7F-4630-BA04-D6C866EC8672}" type="TxLink">
            <a:rPr lang="en-US" sz="1600" b="1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31-Dec-25</a:t>
          </a:fld>
          <a:endParaRPr lang="en-US" sz="1600" b="1"/>
        </a:p>
      </xdr:txBody>
    </xdr:sp>
    <xdr:clientData/>
  </xdr:twoCellAnchor>
  <xdr:twoCellAnchor>
    <xdr:from>
      <xdr:col>2</xdr:col>
      <xdr:colOff>600209</xdr:colOff>
      <xdr:row>0</xdr:row>
      <xdr:rowOff>142385</xdr:rowOff>
    </xdr:from>
    <xdr:to>
      <xdr:col>4</xdr:col>
      <xdr:colOff>457200</xdr:colOff>
      <xdr:row>2</xdr:row>
      <xdr:rowOff>81328</xdr:rowOff>
    </xdr:to>
    <xdr:sp macro="" textlink="">
      <xdr:nvSpPr>
        <xdr:cNvPr id="18" name="TextBox 17"/>
        <xdr:cNvSpPr txBox="1"/>
      </xdr:nvSpPr>
      <xdr:spPr>
        <a:xfrm>
          <a:off x="1819409" y="142385"/>
          <a:ext cx="1076191" cy="319943"/>
        </a:xfrm>
        <a:prstGeom prst="rect">
          <a:avLst/>
        </a:prstGeom>
        <a:solidFill>
          <a:srgbClr val="FF99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000" b="1"/>
            <a:t>From</a:t>
          </a:r>
          <a:endParaRPr lang="en-US" sz="1100" b="1"/>
        </a:p>
      </xdr:txBody>
    </xdr:sp>
    <xdr:clientData/>
  </xdr:twoCellAnchor>
  <xdr:twoCellAnchor>
    <xdr:from>
      <xdr:col>4</xdr:col>
      <xdr:colOff>465257</xdr:colOff>
      <xdr:row>0</xdr:row>
      <xdr:rowOff>142385</xdr:rowOff>
    </xdr:from>
    <xdr:to>
      <xdr:col>6</xdr:col>
      <xdr:colOff>369029</xdr:colOff>
      <xdr:row>2</xdr:row>
      <xdr:rowOff>81326</xdr:rowOff>
    </xdr:to>
    <xdr:sp macro="" textlink="$H$4">
      <xdr:nvSpPr>
        <xdr:cNvPr id="19" name="TextBox 18"/>
        <xdr:cNvSpPr txBox="1"/>
      </xdr:nvSpPr>
      <xdr:spPr>
        <a:xfrm>
          <a:off x="2903657" y="142385"/>
          <a:ext cx="1122972" cy="31994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3786EEC2-464A-469E-BA84-9467F94783BA}" type="TxLink">
            <a:rPr lang="en-US" sz="1600" b="1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01-Dec-25</a:t>
          </a:fld>
          <a:endParaRPr lang="en-US" sz="2000" b="1"/>
        </a:p>
      </xdr:txBody>
    </xdr:sp>
    <xdr:clientData/>
  </xdr:twoCellAnchor>
  <xdr:twoCellAnchor>
    <xdr:from>
      <xdr:col>6</xdr:col>
      <xdr:colOff>516607</xdr:colOff>
      <xdr:row>0</xdr:row>
      <xdr:rowOff>142875</xdr:rowOff>
    </xdr:from>
    <xdr:to>
      <xdr:col>7</xdr:col>
      <xdr:colOff>368120</xdr:colOff>
      <xdr:row>2</xdr:row>
      <xdr:rowOff>81818</xdr:rowOff>
    </xdr:to>
    <xdr:sp macro="" textlink="">
      <xdr:nvSpPr>
        <xdr:cNvPr id="20" name="TextBox 19"/>
        <xdr:cNvSpPr txBox="1"/>
      </xdr:nvSpPr>
      <xdr:spPr>
        <a:xfrm>
          <a:off x="4174207" y="142875"/>
          <a:ext cx="632563" cy="319943"/>
        </a:xfrm>
        <a:prstGeom prst="rect">
          <a:avLst/>
        </a:prstGeom>
        <a:solidFill>
          <a:srgbClr val="FF99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000" b="1"/>
            <a:t>To</a:t>
          </a:r>
        </a:p>
      </xdr:txBody>
    </xdr:sp>
    <xdr:clientData/>
  </xdr:twoCellAnchor>
  <xdr:twoCellAnchor>
    <xdr:from>
      <xdr:col>9</xdr:col>
      <xdr:colOff>104774</xdr:colOff>
      <xdr:row>0</xdr:row>
      <xdr:rowOff>95251</xdr:rowOff>
    </xdr:from>
    <xdr:to>
      <xdr:col>28</xdr:col>
      <xdr:colOff>300789</xdr:colOff>
      <xdr:row>2</xdr:row>
      <xdr:rowOff>133351</xdr:rowOff>
    </xdr:to>
    <xdr:sp macro="" textlink="">
      <xdr:nvSpPr>
        <xdr:cNvPr id="21" name="Rectangle 20"/>
        <xdr:cNvSpPr/>
      </xdr:nvSpPr>
      <xdr:spPr>
        <a:xfrm>
          <a:off x="6521616" y="95251"/>
          <a:ext cx="6399798" cy="414087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110465</xdr:colOff>
      <xdr:row>1</xdr:row>
      <xdr:rowOff>12369</xdr:rowOff>
    </xdr:from>
    <xdr:to>
      <xdr:col>19</xdr:col>
      <xdr:colOff>148441</xdr:colOff>
      <xdr:row>2</xdr:row>
      <xdr:rowOff>23872</xdr:rowOff>
    </xdr:to>
    <xdr:sp macro="" textlink="">
      <xdr:nvSpPr>
        <xdr:cNvPr id="22" name="TextBox 21"/>
        <xdr:cNvSpPr txBox="1"/>
      </xdr:nvSpPr>
      <xdr:spPr>
        <a:xfrm>
          <a:off x="6644615" y="202869"/>
          <a:ext cx="3028826" cy="202003"/>
        </a:xfrm>
        <a:prstGeom prst="rect">
          <a:avLst/>
        </a:prstGeom>
        <a:solidFill>
          <a:schemeClr val="bg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800" b="1"/>
            <a:t>Dashboard For</a:t>
          </a:r>
          <a:r>
            <a:rPr lang="en-US" sz="1800" b="1" baseline="0"/>
            <a:t> The Month Of    </a:t>
          </a:r>
          <a:endParaRPr lang="en-US" sz="1800" b="1"/>
        </a:p>
      </xdr:txBody>
    </xdr:sp>
    <xdr:clientData/>
  </xdr:twoCellAnchor>
  <xdr:twoCellAnchor editAs="oneCell">
    <xdr:from>
      <xdr:col>9</xdr:col>
      <xdr:colOff>107128</xdr:colOff>
      <xdr:row>0</xdr:row>
      <xdr:rowOff>133530</xdr:rowOff>
    </xdr:from>
    <xdr:to>
      <xdr:col>10</xdr:col>
      <xdr:colOff>79043</xdr:colOff>
      <xdr:row>2</xdr:row>
      <xdr:rowOff>114536</xdr:rowOff>
    </xdr:to>
    <xdr:pic>
      <xdr:nvPicPr>
        <xdr:cNvPr id="23" name="Picture 22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 rot="5158119">
          <a:off x="6270020" y="152363"/>
          <a:ext cx="362006" cy="324340"/>
        </a:xfrm>
        <a:prstGeom prst="rect">
          <a:avLst/>
        </a:prstGeom>
      </xdr:spPr>
    </xdr:pic>
    <xdr:clientData/>
  </xdr:twoCellAnchor>
  <xdr:twoCellAnchor>
    <xdr:from>
      <xdr:col>19</xdr:col>
      <xdr:colOff>135841</xdr:colOff>
      <xdr:row>0</xdr:row>
      <xdr:rowOff>133186</xdr:rowOff>
    </xdr:from>
    <xdr:to>
      <xdr:col>24</xdr:col>
      <xdr:colOff>135841</xdr:colOff>
      <xdr:row>2</xdr:row>
      <xdr:rowOff>85562</xdr:rowOff>
    </xdr:to>
    <xdr:sp macro="" textlink="$O$4">
      <xdr:nvSpPr>
        <xdr:cNvPr id="24" name="TextBox 23"/>
        <xdr:cNvSpPr txBox="1"/>
      </xdr:nvSpPr>
      <xdr:spPr>
        <a:xfrm>
          <a:off x="9911499" y="133186"/>
          <a:ext cx="1591678" cy="328363"/>
        </a:xfrm>
        <a:prstGeom prst="rect">
          <a:avLst/>
        </a:prstGeom>
        <a:solidFill>
          <a:srgbClr val="FF99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34BAD96D-33B3-407C-843D-30EA8E6C9ECE}" type="TxLink">
            <a:rPr lang="en-US" sz="2400" b="1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December</a:t>
          </a:fld>
          <a:endParaRPr lang="en-US" sz="2400" b="1"/>
        </a:p>
      </xdr:txBody>
    </xdr:sp>
    <xdr:clientData/>
  </xdr:twoCellAnchor>
  <xdr:twoCellAnchor>
    <xdr:from>
      <xdr:col>29</xdr:col>
      <xdr:colOff>52336</xdr:colOff>
      <xdr:row>0</xdr:row>
      <xdr:rowOff>167472</xdr:rowOff>
    </xdr:from>
    <xdr:to>
      <xdr:col>30</xdr:col>
      <xdr:colOff>73270</xdr:colOff>
      <xdr:row>2</xdr:row>
      <xdr:rowOff>52335</xdr:rowOff>
    </xdr:to>
    <xdr:sp macro="" textlink="">
      <xdr:nvSpPr>
        <xdr:cNvPr id="25" name="TextBox 24"/>
        <xdr:cNvSpPr txBox="1"/>
      </xdr:nvSpPr>
      <xdr:spPr>
        <a:xfrm>
          <a:off x="12749161" y="167472"/>
          <a:ext cx="306684" cy="26586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29</xdr:col>
      <xdr:colOff>167471</xdr:colOff>
      <xdr:row>1</xdr:row>
      <xdr:rowOff>62802</xdr:rowOff>
    </xdr:from>
    <xdr:to>
      <xdr:col>30</xdr:col>
      <xdr:colOff>20933</xdr:colOff>
      <xdr:row>1</xdr:row>
      <xdr:rowOff>167472</xdr:rowOff>
    </xdr:to>
    <xdr:sp macro="" textlink="">
      <xdr:nvSpPr>
        <xdr:cNvPr id="26" name="Flowchart: Connector 25"/>
        <xdr:cNvSpPr/>
      </xdr:nvSpPr>
      <xdr:spPr>
        <a:xfrm>
          <a:off x="12864296" y="253302"/>
          <a:ext cx="139212" cy="104670"/>
        </a:xfrm>
        <a:prstGeom prst="flowChartConnector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noFill/>
          </a:endParaRPr>
        </a:p>
      </xdr:txBody>
    </xdr:sp>
    <xdr:clientData/>
  </xdr:twoCellAnchor>
  <xdr:twoCellAnchor>
    <xdr:from>
      <xdr:col>33</xdr:col>
      <xdr:colOff>136071</xdr:colOff>
      <xdr:row>0</xdr:row>
      <xdr:rowOff>167473</xdr:rowOff>
    </xdr:from>
    <xdr:to>
      <xdr:col>34</xdr:col>
      <xdr:colOff>52334</xdr:colOff>
      <xdr:row>2</xdr:row>
      <xdr:rowOff>73270</xdr:rowOff>
    </xdr:to>
    <xdr:sp macro="" textlink="">
      <xdr:nvSpPr>
        <xdr:cNvPr id="27" name="TextBox 26"/>
        <xdr:cNvSpPr txBox="1"/>
      </xdr:nvSpPr>
      <xdr:spPr>
        <a:xfrm>
          <a:off x="14080671" y="167473"/>
          <a:ext cx="202013" cy="28679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33</xdr:col>
      <xdr:colOff>141933</xdr:colOff>
      <xdr:row>1</xdr:row>
      <xdr:rowOff>79131</xdr:rowOff>
    </xdr:from>
    <xdr:to>
      <xdr:col>33</xdr:col>
      <xdr:colOff>278005</xdr:colOff>
      <xdr:row>1</xdr:row>
      <xdr:rowOff>183801</xdr:rowOff>
    </xdr:to>
    <xdr:sp macro="" textlink="">
      <xdr:nvSpPr>
        <xdr:cNvPr id="28" name="Flowchart: Connector 27"/>
        <xdr:cNvSpPr/>
      </xdr:nvSpPr>
      <xdr:spPr>
        <a:xfrm>
          <a:off x="14086533" y="269631"/>
          <a:ext cx="136072" cy="104670"/>
        </a:xfrm>
        <a:prstGeom prst="flowChartConnector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noFill/>
          </a:endParaRPr>
        </a:p>
      </xdr:txBody>
    </xdr:sp>
    <xdr:clientData/>
  </xdr:twoCellAnchor>
  <xdr:twoCellAnchor>
    <xdr:from>
      <xdr:col>37</xdr:col>
      <xdr:colOff>83734</xdr:colOff>
      <xdr:row>0</xdr:row>
      <xdr:rowOff>147795</xdr:rowOff>
    </xdr:from>
    <xdr:to>
      <xdr:col>37</xdr:col>
      <xdr:colOff>272141</xdr:colOff>
      <xdr:row>2</xdr:row>
      <xdr:rowOff>41869</xdr:rowOff>
    </xdr:to>
    <xdr:sp macro="" textlink="">
      <xdr:nvSpPr>
        <xdr:cNvPr id="29" name="TextBox 28"/>
        <xdr:cNvSpPr txBox="1"/>
      </xdr:nvSpPr>
      <xdr:spPr>
        <a:xfrm>
          <a:off x="15228484" y="147795"/>
          <a:ext cx="188407" cy="27507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37</xdr:col>
      <xdr:colOff>116393</xdr:colOff>
      <xdr:row>1</xdr:row>
      <xdr:rowOff>84993</xdr:rowOff>
    </xdr:from>
    <xdr:to>
      <xdr:col>37</xdr:col>
      <xdr:colOff>252465</xdr:colOff>
      <xdr:row>2</xdr:row>
      <xdr:rowOff>1257</xdr:rowOff>
    </xdr:to>
    <xdr:sp macro="" textlink="">
      <xdr:nvSpPr>
        <xdr:cNvPr id="30" name="Flowchart: Connector 29"/>
        <xdr:cNvSpPr/>
      </xdr:nvSpPr>
      <xdr:spPr>
        <a:xfrm>
          <a:off x="15261143" y="275493"/>
          <a:ext cx="136072" cy="106764"/>
        </a:xfrm>
        <a:prstGeom prst="flowChartConnector">
          <a:avLst/>
        </a:prstGeom>
        <a:solidFill>
          <a:srgbClr val="FFFF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noFill/>
          </a:endParaRPr>
        </a:p>
      </xdr:txBody>
    </xdr:sp>
    <xdr:clientData/>
  </xdr:twoCellAnchor>
  <xdr:twoCellAnchor>
    <xdr:from>
      <xdr:col>29</xdr:col>
      <xdr:colOff>272144</xdr:colOff>
      <xdr:row>0</xdr:row>
      <xdr:rowOff>125604</xdr:rowOff>
    </xdr:from>
    <xdr:to>
      <xdr:col>33</xdr:col>
      <xdr:colOff>41869</xdr:colOff>
      <xdr:row>2</xdr:row>
      <xdr:rowOff>73269</xdr:rowOff>
    </xdr:to>
    <xdr:sp macro="" textlink="">
      <xdr:nvSpPr>
        <xdr:cNvPr id="31" name="TextBox 30"/>
        <xdr:cNvSpPr txBox="1"/>
      </xdr:nvSpPr>
      <xdr:spPr>
        <a:xfrm>
          <a:off x="12968969" y="125604"/>
          <a:ext cx="1017500" cy="32866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000" b="1">
              <a:solidFill>
                <a:schemeClr val="bg1"/>
              </a:solidFill>
            </a:rPr>
            <a:t>Present</a:t>
          </a:r>
        </a:p>
      </xdr:txBody>
    </xdr:sp>
    <xdr:clientData/>
  </xdr:twoCellAnchor>
  <xdr:twoCellAnchor>
    <xdr:from>
      <xdr:col>33</xdr:col>
      <xdr:colOff>251209</xdr:colOff>
      <xdr:row>0</xdr:row>
      <xdr:rowOff>157006</xdr:rowOff>
    </xdr:from>
    <xdr:to>
      <xdr:col>36</xdr:col>
      <xdr:colOff>272142</xdr:colOff>
      <xdr:row>2</xdr:row>
      <xdr:rowOff>73272</xdr:rowOff>
    </xdr:to>
    <xdr:sp macro="" textlink="">
      <xdr:nvSpPr>
        <xdr:cNvPr id="32" name="TextBox 31"/>
        <xdr:cNvSpPr txBox="1"/>
      </xdr:nvSpPr>
      <xdr:spPr>
        <a:xfrm>
          <a:off x="14195809" y="157006"/>
          <a:ext cx="935333" cy="29726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000" b="1">
              <a:solidFill>
                <a:schemeClr val="bg1"/>
              </a:solidFill>
            </a:rPr>
            <a:t>Absent</a:t>
          </a:r>
          <a:endParaRPr lang="en-US" sz="1600" b="1">
            <a:solidFill>
              <a:schemeClr val="bg1"/>
            </a:solidFill>
          </a:endParaRPr>
        </a:p>
      </xdr:txBody>
    </xdr:sp>
    <xdr:clientData/>
  </xdr:twoCellAnchor>
  <xdr:twoCellAnchor>
    <xdr:from>
      <xdr:col>37</xdr:col>
      <xdr:colOff>198873</xdr:colOff>
      <xdr:row>0</xdr:row>
      <xdr:rowOff>146539</xdr:rowOff>
    </xdr:from>
    <xdr:to>
      <xdr:col>40</xdr:col>
      <xdr:colOff>20934</xdr:colOff>
      <xdr:row>2</xdr:row>
      <xdr:rowOff>104671</xdr:rowOff>
    </xdr:to>
    <xdr:sp macro="" textlink="">
      <xdr:nvSpPr>
        <xdr:cNvPr id="33" name="TextBox 32"/>
        <xdr:cNvSpPr txBox="1"/>
      </xdr:nvSpPr>
      <xdr:spPr>
        <a:xfrm>
          <a:off x="15343623" y="146539"/>
          <a:ext cx="803136" cy="33913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000" b="1">
              <a:solidFill>
                <a:schemeClr val="bg1"/>
              </a:solidFill>
            </a:rPr>
            <a:t>Leave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id="1" name="JANReport" displayName="JANReport" ref="AP6:BD26" totalsRowShown="0" headerRowDxfId="282" dataDxfId="280" headerRowBorderDxfId="281" tableBorderDxfId="279">
  <autoFilter ref="AP6:BD26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name="S.NO" dataDxfId="278"/>
    <tableColumn id="2" name="EmployeeID" dataDxfId="277"/>
    <tableColumn id="16" name="Month" dataDxfId="276">
      <calculatedColumnFormula>$O$4</calculatedColumnFormula>
    </tableColumn>
    <tableColumn id="3" name="EmployeeName" dataDxfId="275"/>
    <tableColumn id="4" name="Present" dataDxfId="274">
      <calculatedColumnFormula>COUNTIF($J7:$AN7,"*P*")</calculatedColumnFormula>
    </tableColumn>
    <tableColumn id="5" name="Adsent" dataDxfId="273">
      <calculatedColumnFormula>COUNTIF($J7:$AN7,"*A*")</calculatedColumnFormula>
    </tableColumn>
    <tableColumn id="6" name="Leave" dataDxfId="272">
      <calculatedColumnFormula>COUNTIF($J7:$AN7,"*L*")</calculatedColumnFormula>
    </tableColumn>
    <tableColumn id="7" name="Week Off" dataDxfId="271">
      <calculatedColumnFormula>I7</calculatedColumnFormula>
    </tableColumn>
    <tableColumn id="8" name="Days" dataDxfId="270">
      <calculatedColumnFormula>$N$4</calculatedColumnFormula>
    </tableColumn>
    <tableColumn id="9" name="Paid Days" dataDxfId="269">
      <calculatedColumnFormula>JANReport[[#This Row],[Days]]-JANReport[[#This Row],[Adsent]]</calculatedColumnFormula>
    </tableColumn>
    <tableColumn id="10" name="Salary" dataDxfId="268"/>
    <tableColumn id="11" name="Perday salary" dataDxfId="267">
      <calculatedColumnFormula>JANReport[[#This Row],[Salary]]/JANReport[[#This Row],[Days]]</calculatedColumnFormula>
    </tableColumn>
    <tableColumn id="12" name="Detuction " dataDxfId="266">
      <calculatedColumnFormula>JANReport[[#This Row],[Perday salary]]*JANReport[[#This Row],[Adsent]]</calculatedColumnFormula>
    </tableColumn>
    <tableColumn id="13" name="Total Salary" dataDxfId="265">
      <calculatedColumnFormula>JANReport[[#This Row],[Salary]]-JANReport[[#This Row],[Detuction ]]</calculatedColumnFormula>
    </tableColumn>
    <tableColumn id="14" name="Sparkline" dataDxfId="264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FEBReport" displayName="FEBReport" ref="AP6:BD26" totalsRowShown="0" headerRowDxfId="258" dataDxfId="256" headerRowBorderDxfId="257" tableBorderDxfId="255">
  <autoFilter ref="AP6:BD26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name="S.NO" dataDxfId="254"/>
    <tableColumn id="2" name="EmployeeID" dataDxfId="253"/>
    <tableColumn id="16" name="Month" dataDxfId="252">
      <calculatedColumnFormula>$O$4</calculatedColumnFormula>
    </tableColumn>
    <tableColumn id="3" name="EmployeeName" dataDxfId="251"/>
    <tableColumn id="4" name="Present" dataDxfId="250">
      <calculatedColumnFormula>COUNTIF($J7:$AN7,"P")</calculatedColumnFormula>
    </tableColumn>
    <tableColumn id="5" name="Adsent" dataDxfId="249">
      <calculatedColumnFormula>COUNTIF($J7:$AN7,"A")</calculatedColumnFormula>
    </tableColumn>
    <tableColumn id="6" name="Leave" dataDxfId="248">
      <calculatedColumnFormula>COUNTIF($J7:$AN7,"L")</calculatedColumnFormula>
    </tableColumn>
    <tableColumn id="7" name="Week Off" dataDxfId="247">
      <calculatedColumnFormula>I7</calculatedColumnFormula>
    </tableColumn>
    <tableColumn id="8" name="Days" dataDxfId="246">
      <calculatedColumnFormula>$N$4</calculatedColumnFormula>
    </tableColumn>
    <tableColumn id="9" name="Paid Days" dataDxfId="245">
      <calculatedColumnFormula>FEBReport[[#This Row],[Days]]-FEBReport[[#This Row],[Adsent]]</calculatedColumnFormula>
    </tableColumn>
    <tableColumn id="10" name="Salary" dataDxfId="244"/>
    <tableColumn id="11" name="Perday salary" dataDxfId="243">
      <calculatedColumnFormula>FEBReport[[#This Row],[Salary]]/FEBReport[[#This Row],[Days]]</calculatedColumnFormula>
    </tableColumn>
    <tableColumn id="12" name="Detuction " dataDxfId="242">
      <calculatedColumnFormula>FEBReport[[#This Row],[Perday salary]]*FEBReport[[#This Row],[Adsent]]</calculatedColumnFormula>
    </tableColumn>
    <tableColumn id="13" name="Total Salary" dataDxfId="241">
      <calculatedColumnFormula>FEBReport[[#This Row],[Salary]]-FEBReport[[#This Row],[Detuction ]]</calculatedColumnFormula>
    </tableColumn>
    <tableColumn id="14" name="Sparkline" dataDxfId="240"/>
  </tableColumns>
  <tableStyleInfo showFirstColumn="0" showLastColumn="0" showRowStripes="0" showColumnStripes="0"/>
</table>
</file>

<file path=xl/tables/table3.xml><?xml version="1.0" encoding="utf-8"?>
<table xmlns="http://schemas.openxmlformats.org/spreadsheetml/2006/main" id="3" name="MARReport" displayName="MARReport" ref="AP6:BD26" totalsRowShown="0" headerRowDxfId="234" dataDxfId="232" headerRowBorderDxfId="233" tableBorderDxfId="231">
  <autoFilter ref="AP6:BD26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name="S.NO" dataDxfId="230"/>
    <tableColumn id="2" name="EmployeeID" dataDxfId="229"/>
    <tableColumn id="16" name="Month" dataDxfId="228">
      <calculatedColumnFormula>$O$4</calculatedColumnFormula>
    </tableColumn>
    <tableColumn id="3" name="EmployeeName" dataDxfId="227"/>
    <tableColumn id="4" name="Present" dataDxfId="226">
      <calculatedColumnFormula>COUNTIF($J7:$AN7,"*P*")</calculatedColumnFormula>
    </tableColumn>
    <tableColumn id="5" name="Adsent" dataDxfId="225">
      <calculatedColumnFormula>COUNTIF($J7:$AN7,"*A*")</calculatedColumnFormula>
    </tableColumn>
    <tableColumn id="6" name="Leave" dataDxfId="224">
      <calculatedColumnFormula>COUNTIF($J7:$AN7,"*L*")</calculatedColumnFormula>
    </tableColumn>
    <tableColumn id="7" name="Week Off" dataDxfId="223">
      <calculatedColumnFormula>I7</calculatedColumnFormula>
    </tableColumn>
    <tableColumn id="8" name="Days" dataDxfId="222">
      <calculatedColumnFormula>$N$4</calculatedColumnFormula>
    </tableColumn>
    <tableColumn id="9" name="Paid Days" dataDxfId="221">
      <calculatedColumnFormula>MARReport[[#This Row],[Days]]-MARReport[[#This Row],[Adsent]]</calculatedColumnFormula>
    </tableColumn>
    <tableColumn id="10" name="Salary" dataDxfId="220"/>
    <tableColumn id="11" name="Perday salary" dataDxfId="219">
      <calculatedColumnFormula>MARReport[[#This Row],[Salary]]/MARReport[[#This Row],[Days]]</calculatedColumnFormula>
    </tableColumn>
    <tableColumn id="12" name="Detuction " dataDxfId="218">
      <calculatedColumnFormula>MARReport[[#This Row],[Perday salary]]*MARReport[[#This Row],[Adsent]]</calculatedColumnFormula>
    </tableColumn>
    <tableColumn id="13" name="Total Salary" dataDxfId="217">
      <calculatedColumnFormula>MARReport[[#This Row],[Salary]]-MARReport[[#This Row],[Detuction ]]</calculatedColumnFormula>
    </tableColumn>
    <tableColumn id="14" name="Sparkline" dataDxfId="216"/>
  </tableColumns>
  <tableStyleInfo showFirstColumn="0" showLastColumn="0" showRowStripes="0" showColumnStripes="0"/>
</table>
</file>

<file path=xl/tables/table4.xml><?xml version="1.0" encoding="utf-8"?>
<table xmlns="http://schemas.openxmlformats.org/spreadsheetml/2006/main" id="4" name="APRReport" displayName="APRReport" ref="AO6:BC26" totalsRowShown="0" headerRowDxfId="210" dataDxfId="208" headerRowBorderDxfId="209" tableBorderDxfId="207">
  <autoFilter ref="AO6:BC26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name="S.NO" dataDxfId="206"/>
    <tableColumn id="2" name="EmployeeID" dataDxfId="205"/>
    <tableColumn id="16" name="Month" dataDxfId="204">
      <calculatedColumnFormula>$O$4</calculatedColumnFormula>
    </tableColumn>
    <tableColumn id="3" name="EmployeeName" dataDxfId="203"/>
    <tableColumn id="4" name="Present" dataDxfId="202">
      <calculatedColumnFormula>COUNTIF($J7:$AM7,"*P*")</calculatedColumnFormula>
    </tableColumn>
    <tableColumn id="5" name="Adsent" dataDxfId="201">
      <calculatedColumnFormula>COUNTIF($J7:$AM7,"*A*")</calculatedColumnFormula>
    </tableColumn>
    <tableColumn id="6" name="Leave" dataDxfId="200">
      <calculatedColumnFormula>COUNTIF($J7:$AM7,"*L*")</calculatedColumnFormula>
    </tableColumn>
    <tableColumn id="7" name="Week Off" dataDxfId="199">
      <calculatedColumnFormula>I7</calculatedColumnFormula>
    </tableColumn>
    <tableColumn id="8" name="Days" dataDxfId="198">
      <calculatedColumnFormula>$N$4</calculatedColumnFormula>
    </tableColumn>
    <tableColumn id="9" name="Paid Days" dataDxfId="197">
      <calculatedColumnFormula>APRReport[[#This Row],[Days]]-APRReport[[#This Row],[Adsent]]</calculatedColumnFormula>
    </tableColumn>
    <tableColumn id="10" name="Salary" dataDxfId="196"/>
    <tableColumn id="11" name="Perday salary" dataDxfId="195">
      <calculatedColumnFormula>APRReport[[#This Row],[Salary]]/APRReport[[#This Row],[Days]]</calculatedColumnFormula>
    </tableColumn>
    <tableColumn id="12" name="Detuction " dataDxfId="194">
      <calculatedColumnFormula>APRReport[[#This Row],[Perday salary]]*APRReport[[#This Row],[Adsent]]</calculatedColumnFormula>
    </tableColumn>
    <tableColumn id="13" name="Total Salary" dataDxfId="193">
      <calculatedColumnFormula>APRReport[[#This Row],[Salary]]-APRReport[[#This Row],[Detuction ]]</calculatedColumnFormula>
    </tableColumn>
    <tableColumn id="14" name="Sparkline" dataDxfId="192"/>
  </tableColumns>
  <tableStyleInfo showFirstColumn="0" showLastColumn="0" showRowStripes="0" showColumnStripes="0"/>
</table>
</file>

<file path=xl/tables/table5.xml><?xml version="1.0" encoding="utf-8"?>
<table xmlns="http://schemas.openxmlformats.org/spreadsheetml/2006/main" id="5" name="MAYReport" displayName="MAYReport" ref="AP6:BD26" totalsRowShown="0" headerRowDxfId="186" dataDxfId="184" headerRowBorderDxfId="185" tableBorderDxfId="183">
  <autoFilter ref="AP6:BD26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name="S.NO" dataDxfId="182"/>
    <tableColumn id="2" name="EmployeeID" dataDxfId="181"/>
    <tableColumn id="16" name="Month" dataDxfId="180">
      <calculatedColumnFormula>$O$4</calculatedColumnFormula>
    </tableColumn>
    <tableColumn id="3" name="EmployeeName" dataDxfId="179"/>
    <tableColumn id="4" name="Present" dataDxfId="178">
      <calculatedColumnFormula>COUNTIF($J7:$AN7,"*P*")</calculatedColumnFormula>
    </tableColumn>
    <tableColumn id="5" name="Adsent" dataDxfId="177">
      <calculatedColumnFormula>COUNTIF($J7:$AN7,"*A*")</calculatedColumnFormula>
    </tableColumn>
    <tableColumn id="6" name="Leave" dataDxfId="176">
      <calculatedColumnFormula>COUNTIF($J7:$AN7,"*L*")</calculatedColumnFormula>
    </tableColumn>
    <tableColumn id="7" name="Week Off" dataDxfId="175">
      <calculatedColumnFormula>I7</calculatedColumnFormula>
    </tableColumn>
    <tableColumn id="8" name="Days" dataDxfId="174">
      <calculatedColumnFormula>$N$4</calculatedColumnFormula>
    </tableColumn>
    <tableColumn id="9" name="Paid Days" dataDxfId="173">
      <calculatedColumnFormula>MAYReport[[#This Row],[Days]]-MAYReport[[#This Row],[Adsent]]</calculatedColumnFormula>
    </tableColumn>
    <tableColumn id="10" name="Salary" dataDxfId="172"/>
    <tableColumn id="11" name="Perday salary" dataDxfId="171">
      <calculatedColumnFormula>MAYReport[[#This Row],[Salary]]/MAYReport[[#This Row],[Days]]</calculatedColumnFormula>
    </tableColumn>
    <tableColumn id="12" name="Detuction " dataDxfId="170">
      <calculatedColumnFormula>MAYReport[[#This Row],[Perday salary]]*MAYReport[[#This Row],[Adsent]]</calculatedColumnFormula>
    </tableColumn>
    <tableColumn id="13" name="Total Salary" dataDxfId="169">
      <calculatedColumnFormula>MAYReport[[#This Row],[Salary]]-MAYReport[[#This Row],[Detuction ]]</calculatedColumnFormula>
    </tableColumn>
    <tableColumn id="14" name="Sparkline" dataDxfId="168"/>
  </tableColumns>
  <tableStyleInfo showFirstColumn="0" showLastColumn="0" showRowStripes="0" showColumnStripes="0"/>
</table>
</file>

<file path=xl/tables/table6.xml><?xml version="1.0" encoding="utf-8"?>
<table xmlns="http://schemas.openxmlformats.org/spreadsheetml/2006/main" id="6" name="JUNReport" displayName="JUNReport" ref="AO6:BC26" totalsRowShown="0" headerRowDxfId="162" dataDxfId="160" headerRowBorderDxfId="161" tableBorderDxfId="159">
  <autoFilter ref="AO6:BC26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name="S.NO" dataDxfId="158"/>
    <tableColumn id="2" name="EmployeeID" dataDxfId="157"/>
    <tableColumn id="16" name="Month" dataDxfId="156">
      <calculatedColumnFormula>$O$4</calculatedColumnFormula>
    </tableColumn>
    <tableColumn id="3" name="EmployeeName" dataDxfId="155"/>
    <tableColumn id="4" name="Present" dataDxfId="154">
      <calculatedColumnFormula>COUNTIF($J7:$AM7,"*P*")</calculatedColumnFormula>
    </tableColumn>
    <tableColumn id="5" name="Adsent" dataDxfId="153">
      <calculatedColumnFormula>COUNTIF($J7:$AM7,"*A*")</calculatedColumnFormula>
    </tableColumn>
    <tableColumn id="6" name="Leave" dataDxfId="152">
      <calculatedColumnFormula>COUNTIF($J7:$AM7,"*L*")</calculatedColumnFormula>
    </tableColumn>
    <tableColumn id="7" name="Week Off" dataDxfId="151">
      <calculatedColumnFormula>I7</calculatedColumnFormula>
    </tableColumn>
    <tableColumn id="8" name="Days" dataDxfId="150">
      <calculatedColumnFormula>$N$4</calculatedColumnFormula>
    </tableColumn>
    <tableColumn id="9" name="Paid Days" dataDxfId="149">
      <calculatedColumnFormula>JUNReport[[#This Row],[Days]]-JUNReport[[#This Row],[Adsent]]</calculatedColumnFormula>
    </tableColumn>
    <tableColumn id="10" name="Salary" dataDxfId="148"/>
    <tableColumn id="11" name="Perday salary" dataDxfId="147">
      <calculatedColumnFormula>JUNReport[[#This Row],[Salary]]/JUNReport[[#This Row],[Days]]</calculatedColumnFormula>
    </tableColumn>
    <tableColumn id="12" name="Detuction " dataDxfId="146">
      <calculatedColumnFormula>JUNReport[[#This Row],[Perday salary]]*JUNReport[[#This Row],[Adsent]]</calculatedColumnFormula>
    </tableColumn>
    <tableColumn id="13" name="Total Salary" dataDxfId="145">
      <calculatedColumnFormula>JUNReport[[#This Row],[Salary]]-JUNReport[[#This Row],[Detuction ]]</calculatedColumnFormula>
    </tableColumn>
    <tableColumn id="14" name="Sparkline" dataDxfId="144"/>
  </tableColumns>
  <tableStyleInfo showFirstColumn="0" showLastColumn="0" showRowStripes="0" showColumnStripes="0"/>
</table>
</file>

<file path=xl/tables/table7.xml><?xml version="1.0" encoding="utf-8"?>
<table xmlns="http://schemas.openxmlformats.org/spreadsheetml/2006/main" id="7" name="JULReport" displayName="JULReport" ref="AP6:BD26" totalsRowShown="0" headerRowDxfId="138" dataDxfId="136" headerRowBorderDxfId="137" tableBorderDxfId="135">
  <autoFilter ref="AP6:BD26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name="S.NO" dataDxfId="134"/>
    <tableColumn id="2" name="EmployeeID" dataDxfId="133"/>
    <tableColumn id="16" name="Month" dataDxfId="132">
      <calculatedColumnFormula>$O$4</calculatedColumnFormula>
    </tableColumn>
    <tableColumn id="3" name="EmployeeName" dataDxfId="131"/>
    <tableColumn id="4" name="Present" dataDxfId="130">
      <calculatedColumnFormula>COUNTIF($J7:$AN7,"*P*")</calculatedColumnFormula>
    </tableColumn>
    <tableColumn id="5" name="Adsent" dataDxfId="129">
      <calculatedColumnFormula>COUNTIF($J7:$AN7,"*A*")</calculatedColumnFormula>
    </tableColumn>
    <tableColumn id="6" name="Leave" dataDxfId="128">
      <calculatedColumnFormula>COUNTIF($J7:$AN7,"*L*")</calculatedColumnFormula>
    </tableColumn>
    <tableColumn id="7" name="Week Off" dataDxfId="127">
      <calculatedColumnFormula>I7</calculatedColumnFormula>
    </tableColumn>
    <tableColumn id="8" name="Days" dataDxfId="126">
      <calculatedColumnFormula>$N$4</calculatedColumnFormula>
    </tableColumn>
    <tableColumn id="9" name="Paid Days" dataDxfId="125">
      <calculatedColumnFormula>JULReport[[#This Row],[Days]]-JULReport[[#This Row],[Adsent]]</calculatedColumnFormula>
    </tableColumn>
    <tableColumn id="10" name="Salary" dataDxfId="124"/>
    <tableColumn id="11" name="Perday salary" dataDxfId="123">
      <calculatedColumnFormula>JULReport[[#This Row],[Salary]]/JULReport[[#This Row],[Days]]</calculatedColumnFormula>
    </tableColumn>
    <tableColumn id="12" name="Detuction " dataDxfId="122">
      <calculatedColumnFormula>JULReport[[#This Row],[Perday salary]]*JULReport[[#This Row],[Adsent]]</calculatedColumnFormula>
    </tableColumn>
    <tableColumn id="13" name="Total Salary" dataDxfId="121">
      <calculatedColumnFormula>JULReport[[#This Row],[Salary]]-JULReport[[#This Row],[Detuction ]]</calculatedColumnFormula>
    </tableColumn>
    <tableColumn id="14" name="Sparkline" dataDxfId="120"/>
  </tableColumns>
  <tableStyleInfo showFirstColumn="0" showLastColumn="0" showRowStripes="0" showColumnStripes="0"/>
</table>
</file>

<file path=xl/tables/table8.xml><?xml version="1.0" encoding="utf-8"?>
<table xmlns="http://schemas.openxmlformats.org/spreadsheetml/2006/main" id="8" name="AUGReport" displayName="AUGReport" ref="AP6:BD26" totalsRowShown="0" headerRowDxfId="114" dataDxfId="112" headerRowBorderDxfId="113" tableBorderDxfId="111">
  <autoFilter ref="AP6:BD26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name="S.NO" dataDxfId="110"/>
    <tableColumn id="2" name="EmployeeID" dataDxfId="109"/>
    <tableColumn id="16" name="Month" dataDxfId="108">
      <calculatedColumnFormula>$O$4</calculatedColumnFormula>
    </tableColumn>
    <tableColumn id="3" name="EmployeeName" dataDxfId="107"/>
    <tableColumn id="4" name="Present" dataDxfId="106">
      <calculatedColumnFormula>COUNTIF($J7:$AN7,"*P*")</calculatedColumnFormula>
    </tableColumn>
    <tableColumn id="5" name="Adsent" dataDxfId="105">
      <calculatedColumnFormula>COUNTIF($J7:$AN7,"*A*")</calculatedColumnFormula>
    </tableColumn>
    <tableColumn id="6" name="Leave" dataDxfId="104">
      <calculatedColumnFormula>COUNTIF($J7:$AN7,"*L*")</calculatedColumnFormula>
    </tableColumn>
    <tableColumn id="7" name="Week Off" dataDxfId="103">
      <calculatedColumnFormula>I7</calculatedColumnFormula>
    </tableColumn>
    <tableColumn id="8" name="Days" dataDxfId="102">
      <calculatedColumnFormula>$N$4</calculatedColumnFormula>
    </tableColumn>
    <tableColumn id="9" name="Paid Days" dataDxfId="101">
      <calculatedColumnFormula>AUGReport[[#This Row],[Days]]-AUGReport[[#This Row],[Adsent]]</calculatedColumnFormula>
    </tableColumn>
    <tableColumn id="10" name="Salary" dataDxfId="100"/>
    <tableColumn id="11" name="Perday salary" dataDxfId="99">
      <calculatedColumnFormula>AUGReport[[#This Row],[Salary]]/AUGReport[[#This Row],[Days]]</calculatedColumnFormula>
    </tableColumn>
    <tableColumn id="12" name="Detuction " dataDxfId="98">
      <calculatedColumnFormula>AUGReport[[#This Row],[Perday salary]]*AUGReport[[#This Row],[Adsent]]</calculatedColumnFormula>
    </tableColumn>
    <tableColumn id="13" name="Total Salary" dataDxfId="97">
      <calculatedColumnFormula>AUGReport[[#This Row],[Salary]]-AUGReport[[#This Row],[Detuction ]]</calculatedColumnFormula>
    </tableColumn>
    <tableColumn id="14" name="Sparkline" dataDxfId="96"/>
  </tableColumns>
  <tableStyleInfo showFirstColumn="0" showLastColumn="0" showRowStripes="0" showColumnStripes="0"/>
</table>
</file>

<file path=xl/tables/table9.xml><?xml version="1.0" encoding="utf-8"?>
<table xmlns="http://schemas.openxmlformats.org/spreadsheetml/2006/main" id="9" name="SEPReport" displayName="SEPReport" ref="AO6:BC26" totalsRowShown="0" headerRowDxfId="90" dataDxfId="88" headerRowBorderDxfId="89" tableBorderDxfId="87">
  <autoFilter ref="AO6:BC26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name="S.NO" dataDxfId="86"/>
    <tableColumn id="2" name="EmployeeID" dataDxfId="85"/>
    <tableColumn id="16" name="Month" dataDxfId="84">
      <calculatedColumnFormula>$O$4</calculatedColumnFormula>
    </tableColumn>
    <tableColumn id="3" name="EmployeeName" dataDxfId="83"/>
    <tableColumn id="4" name="Present" dataDxfId="82">
      <calculatedColumnFormula>COUNTIF($J7:$AM7,"*P*")</calculatedColumnFormula>
    </tableColumn>
    <tableColumn id="5" name="Adsent" dataDxfId="81">
      <calculatedColumnFormula>COUNTIF($J7:$AM7,"*A*")</calculatedColumnFormula>
    </tableColumn>
    <tableColumn id="6" name="Leave" dataDxfId="80">
      <calculatedColumnFormula>COUNTIF($J7:$AM7,"*L*")</calculatedColumnFormula>
    </tableColumn>
    <tableColumn id="7" name="Week Off" dataDxfId="79">
      <calculatedColumnFormula>I7</calculatedColumnFormula>
    </tableColumn>
    <tableColumn id="8" name="Days" dataDxfId="78">
      <calculatedColumnFormula>$N$4</calculatedColumnFormula>
    </tableColumn>
    <tableColumn id="9" name="Paid Days" dataDxfId="77">
      <calculatedColumnFormula>SEPReport[[#This Row],[Days]]-SEPReport[[#This Row],[Adsent]]</calculatedColumnFormula>
    </tableColumn>
    <tableColumn id="10" name="Salary" dataDxfId="76"/>
    <tableColumn id="11" name="Perday salary" dataDxfId="75">
      <calculatedColumnFormula>SEPReport[[#This Row],[Salary]]/SEPReport[[#This Row],[Days]]</calculatedColumnFormula>
    </tableColumn>
    <tableColumn id="12" name="Detuction " dataDxfId="74">
      <calculatedColumnFormula>SEPReport[[#This Row],[Perday salary]]*SEPReport[[#This Row],[Adsent]]</calculatedColumnFormula>
    </tableColumn>
    <tableColumn id="13" name="Total Salary" dataDxfId="73">
      <calculatedColumnFormula>SEPReport[[#This Row],[Salary]]-SEPReport[[#This Row],[Detuction ]]</calculatedColumnFormula>
    </tableColumn>
    <tableColumn id="14" name="Sparkline" dataDxfId="72"/>
  </tableColumns>
  <tableStyleInfo showFirstColumn="0" showLastColumn="0" showRowStripes="0" showColumnStripes="0"/>
</table>
</file>

<file path=xl/tables/table10.xml><?xml version="1.0" encoding="utf-8"?>
<table xmlns="http://schemas.openxmlformats.org/spreadsheetml/2006/main" id="10" name="OCTReport" displayName="OCTReport" ref="AP6:BD26" totalsRowShown="0" headerRowDxfId="66" dataDxfId="64" headerRowBorderDxfId="65" tableBorderDxfId="63">
  <autoFilter ref="AP6:BD26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name="S.NO" dataDxfId="62"/>
    <tableColumn id="2" name="EmployeeID" dataDxfId="61"/>
    <tableColumn id="16" name="Month" dataDxfId="60">
      <calculatedColumnFormula>$O$4</calculatedColumnFormula>
    </tableColumn>
    <tableColumn id="3" name="EmployeeName" dataDxfId="59"/>
    <tableColumn id="4" name="Present" dataDxfId="58">
      <calculatedColumnFormula>COUNTIF($J7:$AN7,"*P*")</calculatedColumnFormula>
    </tableColumn>
    <tableColumn id="5" name="Adsent" dataDxfId="57">
      <calculatedColumnFormula>COUNTIF($J7:$AN7,"*A*")</calculatedColumnFormula>
    </tableColumn>
    <tableColumn id="6" name="Leave" dataDxfId="56">
      <calculatedColumnFormula>COUNTIF($J7:$AN7,"*L*")</calculatedColumnFormula>
    </tableColumn>
    <tableColumn id="7" name="Week Off" dataDxfId="55">
      <calculatedColumnFormula>I7</calculatedColumnFormula>
    </tableColumn>
    <tableColumn id="8" name="Days" dataDxfId="54">
      <calculatedColumnFormula>$N$4</calculatedColumnFormula>
    </tableColumn>
    <tableColumn id="9" name="Paid Days" dataDxfId="53">
      <calculatedColumnFormula>OCTReport[[#This Row],[Days]]-OCTReport[[#This Row],[Adsent]]</calculatedColumnFormula>
    </tableColumn>
    <tableColumn id="10" name="Salary" dataDxfId="52"/>
    <tableColumn id="11" name="Perday salary" dataDxfId="51">
      <calculatedColumnFormula>OCTReport[[#This Row],[Salary]]/OCTReport[[#This Row],[Days]]</calculatedColumnFormula>
    </tableColumn>
    <tableColumn id="12" name="Detuction " dataDxfId="50">
      <calculatedColumnFormula>OCTReport[[#This Row],[Perday salary]]*OCTReport[[#This Row],[Adsent]]</calculatedColumnFormula>
    </tableColumn>
    <tableColumn id="13" name="Total Salary" dataDxfId="49">
      <calculatedColumnFormula>OCTReport[[#This Row],[Salary]]-OCTReport[[#This Row],[Detuction ]]</calculatedColumnFormula>
    </tableColumn>
    <tableColumn id="14" name="Sparkline" dataDxfId="48"/>
  </tableColumns>
  <tableStyleInfo showFirstColumn="0" showLastColumn="0" showRowStripes="0" showColumnStripes="0"/>
</table>
</file>

<file path=xl/tables/table11.xml><?xml version="1.0" encoding="utf-8"?>
<table xmlns="http://schemas.openxmlformats.org/spreadsheetml/2006/main" id="11" name="NOVReport" displayName="NOVReport" ref="AO6:BC26" totalsRowShown="0" headerRowDxfId="42" dataDxfId="40" headerRowBorderDxfId="41" tableBorderDxfId="39">
  <autoFilter ref="AO6:BC26"/>
  <tableColumns count="15">
    <tableColumn id="1" name="S.NO" dataDxfId="38"/>
    <tableColumn id="2" name="EmployeeID" dataDxfId="37"/>
    <tableColumn id="16" name="Month" dataDxfId="36">
      <calculatedColumnFormula>$O$4</calculatedColumnFormula>
    </tableColumn>
    <tableColumn id="3" name="EmployeeName" dataDxfId="35"/>
    <tableColumn id="4" name="Present" dataDxfId="34">
      <calculatedColumnFormula>COUNTIF($J7:$AM7,"*P*")</calculatedColumnFormula>
    </tableColumn>
    <tableColumn id="5" name="Adsent" dataDxfId="33">
      <calculatedColumnFormula>COUNTIF($J7:$AM7,"*A*")</calculatedColumnFormula>
    </tableColumn>
    <tableColumn id="6" name="Leave" dataDxfId="32">
      <calculatedColumnFormula>COUNTIF($J7:$AM7,"*L*")</calculatedColumnFormula>
    </tableColumn>
    <tableColumn id="7" name="Week Off" dataDxfId="31">
      <calculatedColumnFormula>I7</calculatedColumnFormula>
    </tableColumn>
    <tableColumn id="8" name="Days" dataDxfId="30">
      <calculatedColumnFormula>$N$4</calculatedColumnFormula>
    </tableColumn>
    <tableColumn id="9" name="Paid Days" dataDxfId="29">
      <calculatedColumnFormula>NOVReport[[#This Row],[Days]]-NOVReport[[#This Row],[Adsent]]</calculatedColumnFormula>
    </tableColumn>
    <tableColumn id="10" name="Salary" dataDxfId="28"/>
    <tableColumn id="11" name="Perday salary" dataDxfId="27">
      <calculatedColumnFormula>NOVReport[[#This Row],[Salary]]/NOVReport[[#This Row],[Days]]</calculatedColumnFormula>
    </tableColumn>
    <tableColumn id="12" name="Detuction " dataDxfId="26">
      <calculatedColumnFormula>NOVReport[[#This Row],[Perday salary]]*NOVReport[[#This Row],[Adsent]]</calculatedColumnFormula>
    </tableColumn>
    <tableColumn id="13" name="Total Salary" dataDxfId="25">
      <calculatedColumnFormula>NOVReport[[#This Row],[Salary]]-NOVReport[[#This Row],[Detuction ]]</calculatedColumnFormula>
    </tableColumn>
    <tableColumn id="14" name="Sparkline" dataDxfId="24"/>
  </tableColumns>
  <tableStyleInfo showFirstColumn="0" showLastColumn="0" showRowStripes="0" showColumnStripes="0"/>
</table>
</file>

<file path=xl/tables/table12.xml><?xml version="1.0" encoding="utf-8"?>
<table xmlns="http://schemas.openxmlformats.org/spreadsheetml/2006/main" id="12" name="DECReport" displayName="DECReport" ref="AP6:BD26" totalsRowShown="0" headerRowDxfId="18" dataDxfId="16" headerRowBorderDxfId="17" tableBorderDxfId="15">
  <autoFilter ref="AP6:BD26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name="S.NO" dataDxfId="14"/>
    <tableColumn id="2" name="EmployeeID" dataDxfId="13"/>
    <tableColumn id="16" name="Month" dataDxfId="12">
      <calculatedColumnFormula>$O$4</calculatedColumnFormula>
    </tableColumn>
    <tableColumn id="3" name="EmployeeName" dataDxfId="11"/>
    <tableColumn id="4" name="Present" dataDxfId="10">
      <calculatedColumnFormula>COUNTIF($J7:$AN7,"*P*")</calculatedColumnFormula>
    </tableColumn>
    <tableColumn id="5" name="Adsent" dataDxfId="9">
      <calculatedColumnFormula>COUNTIF($J7:$AN7,"*A*")</calculatedColumnFormula>
    </tableColumn>
    <tableColumn id="6" name="Leave" dataDxfId="8">
      <calculatedColumnFormula>COUNTIF($J7:$AN7,"*L*")</calculatedColumnFormula>
    </tableColumn>
    <tableColumn id="7" name="Week Off" dataDxfId="7">
      <calculatedColumnFormula>I7</calculatedColumnFormula>
    </tableColumn>
    <tableColumn id="8" name="Days" dataDxfId="6">
      <calculatedColumnFormula>$N$4</calculatedColumnFormula>
    </tableColumn>
    <tableColumn id="9" name="Paid Days" dataDxfId="5">
      <calculatedColumnFormula>DECReport[[#This Row],[Days]]-DECReport[[#This Row],[Adsent]]</calculatedColumnFormula>
    </tableColumn>
    <tableColumn id="10" name="Salary" dataDxfId="4"/>
    <tableColumn id="11" name="Perday salary" dataDxfId="3">
      <calculatedColumnFormula>DECReport[[#This Row],[Salary]]/DECReport[[#This Row],[Days]]</calculatedColumnFormula>
    </tableColumn>
    <tableColumn id="12" name="Detuction " dataDxfId="2">
      <calculatedColumnFormula>DECReport[[#This Row],[Perday salary]]*DECReport[[#This Row],[Adsent]]</calculatedColumnFormula>
    </tableColumn>
    <tableColumn id="13" name="Total Salary" dataDxfId="1">
      <calculatedColumnFormula>DECReport[[#This Row],[Salary]]-DECReport[[#This Row],[Detuction ]]</calculatedColumnFormula>
    </tableColumn>
    <tableColumn id="14" name="Sparkline" dataDxfId="0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"/>
  <sheetViews>
    <sheetView workbookViewId="0">
      <selection activeCell="G4" sqref="G4"/>
    </sheetView>
  </sheetViews>
  <sheetFormatPr defaultRowHeight="14.4" x14ac:dyDescent="0.3"/>
  <cols>
    <col min="1" max="1" width="5" bestFit="1" customWidth="1"/>
    <col min="2" max="2" width="17" bestFit="1" customWidth="1"/>
    <col min="3" max="3" width="12" bestFit="1" customWidth="1"/>
    <col min="7" max="7" width="11.6640625" bestFit="1" customWidth="1"/>
  </cols>
  <sheetData>
    <row r="1" spans="1:3" ht="15" thickTop="1" x14ac:dyDescent="0.3">
      <c r="A1" s="82" t="s">
        <v>0</v>
      </c>
      <c r="B1" s="84" t="s">
        <v>1</v>
      </c>
      <c r="C1" s="86" t="s">
        <v>2</v>
      </c>
    </row>
    <row r="2" spans="1:3" x14ac:dyDescent="0.3">
      <c r="A2" s="83"/>
      <c r="B2" s="85"/>
      <c r="C2" s="87"/>
    </row>
    <row r="3" spans="1:3" x14ac:dyDescent="0.3">
      <c r="A3" s="1">
        <v>1</v>
      </c>
      <c r="B3" s="2" t="s">
        <v>3</v>
      </c>
      <c r="C3" s="3">
        <v>1001</v>
      </c>
    </row>
    <row r="4" spans="1:3" x14ac:dyDescent="0.3">
      <c r="A4" s="1">
        <v>2</v>
      </c>
      <c r="B4" s="2" t="s">
        <v>4</v>
      </c>
      <c r="C4" s="3">
        <v>1002</v>
      </c>
    </row>
    <row r="5" spans="1:3" x14ac:dyDescent="0.3">
      <c r="A5" s="1">
        <v>3</v>
      </c>
      <c r="B5" s="2" t="s">
        <v>5</v>
      </c>
      <c r="C5" s="3">
        <v>1003</v>
      </c>
    </row>
    <row r="6" spans="1:3" x14ac:dyDescent="0.3">
      <c r="A6" s="1">
        <v>4</v>
      </c>
      <c r="B6" s="2" t="s">
        <v>6</v>
      </c>
      <c r="C6" s="3">
        <v>1004</v>
      </c>
    </row>
    <row r="7" spans="1:3" x14ac:dyDescent="0.3">
      <c r="A7" s="1">
        <v>5</v>
      </c>
      <c r="B7" s="2" t="s">
        <v>7</v>
      </c>
      <c r="C7" s="3">
        <v>1005</v>
      </c>
    </row>
    <row r="8" spans="1:3" x14ac:dyDescent="0.3">
      <c r="A8" s="1">
        <v>6</v>
      </c>
      <c r="B8" s="2" t="s">
        <v>8</v>
      </c>
      <c r="C8" s="3">
        <v>1006</v>
      </c>
    </row>
    <row r="9" spans="1:3" x14ac:dyDescent="0.3">
      <c r="A9" s="1">
        <v>7</v>
      </c>
      <c r="B9" s="2" t="s">
        <v>9</v>
      </c>
      <c r="C9" s="3">
        <v>1007</v>
      </c>
    </row>
    <row r="10" spans="1:3" x14ac:dyDescent="0.3">
      <c r="A10" s="1">
        <v>8</v>
      </c>
      <c r="B10" s="2" t="s">
        <v>10</v>
      </c>
      <c r="C10" s="3">
        <v>1008</v>
      </c>
    </row>
    <row r="11" spans="1:3" x14ac:dyDescent="0.3">
      <c r="A11" s="1">
        <v>9</v>
      </c>
      <c r="B11" s="2" t="s">
        <v>11</v>
      </c>
      <c r="C11" s="3">
        <v>1009</v>
      </c>
    </row>
    <row r="12" spans="1:3" x14ac:dyDescent="0.3">
      <c r="A12" s="1">
        <v>10</v>
      </c>
      <c r="B12" s="2" t="s">
        <v>12</v>
      </c>
      <c r="C12" s="3">
        <v>1010</v>
      </c>
    </row>
    <row r="13" spans="1:3" x14ac:dyDescent="0.3">
      <c r="A13" s="1">
        <v>11</v>
      </c>
      <c r="B13" s="2" t="s">
        <v>13</v>
      </c>
      <c r="C13" s="3">
        <v>1011</v>
      </c>
    </row>
    <row r="14" spans="1:3" x14ac:dyDescent="0.3">
      <c r="A14" s="1">
        <v>12</v>
      </c>
      <c r="B14" s="2" t="s">
        <v>14</v>
      </c>
      <c r="C14" s="3">
        <v>1012</v>
      </c>
    </row>
    <row r="15" spans="1:3" x14ac:dyDescent="0.3">
      <c r="A15" s="1">
        <v>13</v>
      </c>
      <c r="B15" s="2" t="s">
        <v>15</v>
      </c>
      <c r="C15" s="3">
        <v>1013</v>
      </c>
    </row>
    <row r="16" spans="1:3" x14ac:dyDescent="0.3">
      <c r="A16" s="1">
        <v>14</v>
      </c>
      <c r="B16" s="2" t="s">
        <v>16</v>
      </c>
      <c r="C16" s="3">
        <v>1014</v>
      </c>
    </row>
    <row r="17" spans="1:3" x14ac:dyDescent="0.3">
      <c r="A17" s="1">
        <v>15</v>
      </c>
      <c r="B17" s="2" t="s">
        <v>17</v>
      </c>
      <c r="C17" s="3">
        <v>1015</v>
      </c>
    </row>
    <row r="18" spans="1:3" x14ac:dyDescent="0.3">
      <c r="A18" s="1">
        <v>16</v>
      </c>
      <c r="B18" s="2" t="s">
        <v>18</v>
      </c>
      <c r="C18" s="3">
        <v>1016</v>
      </c>
    </row>
    <row r="19" spans="1:3" x14ac:dyDescent="0.3">
      <c r="A19" s="1">
        <v>17</v>
      </c>
      <c r="B19" s="2" t="s">
        <v>19</v>
      </c>
      <c r="C19" s="3">
        <v>1017</v>
      </c>
    </row>
    <row r="20" spans="1:3" x14ac:dyDescent="0.3">
      <c r="A20" s="1">
        <v>18</v>
      </c>
      <c r="B20" s="2" t="s">
        <v>20</v>
      </c>
      <c r="C20" s="3">
        <v>1018</v>
      </c>
    </row>
    <row r="21" spans="1:3" x14ac:dyDescent="0.3">
      <c r="A21" s="1">
        <v>19</v>
      </c>
      <c r="B21" s="2" t="s">
        <v>21</v>
      </c>
      <c r="C21" s="3">
        <v>1019</v>
      </c>
    </row>
    <row r="22" spans="1:3" ht="15" thickBot="1" x14ac:dyDescent="0.35">
      <c r="A22" s="4">
        <v>20</v>
      </c>
      <c r="B22" s="5" t="s">
        <v>22</v>
      </c>
      <c r="C22" s="6">
        <v>1020</v>
      </c>
    </row>
  </sheetData>
  <mergeCells count="3">
    <mergeCell ref="A1:A2"/>
    <mergeCell ref="B1:B2"/>
    <mergeCell ref="C1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49"/>
  <sheetViews>
    <sheetView zoomScaleNormal="100" workbookViewId="0">
      <selection activeCell="AU15" sqref="AU15"/>
    </sheetView>
  </sheetViews>
  <sheetFormatPr defaultRowHeight="14.4" x14ac:dyDescent="0.3"/>
  <cols>
    <col min="7" max="7" width="11.6640625" bestFit="1" customWidth="1"/>
    <col min="8" max="8" width="17" bestFit="1" customWidth="1"/>
    <col min="10" max="10" width="5.33203125" bestFit="1" customWidth="1"/>
    <col min="11" max="11" width="6" customWidth="1"/>
    <col min="12" max="12" width="5" bestFit="1" customWidth="1"/>
    <col min="13" max="14" width="4.33203125" bestFit="1" customWidth="1"/>
    <col min="15" max="15" width="6.5546875" customWidth="1"/>
    <col min="16" max="16" width="4.33203125" bestFit="1" customWidth="1"/>
    <col min="17" max="17" width="5.109375" bestFit="1" customWidth="1"/>
    <col min="18" max="18" width="4.33203125" bestFit="1" customWidth="1"/>
    <col min="19" max="19" width="5" bestFit="1" customWidth="1"/>
    <col min="20" max="20" width="4.33203125" bestFit="1" customWidth="1"/>
    <col min="21" max="21" width="5.109375" bestFit="1" customWidth="1"/>
    <col min="22" max="22" width="5" bestFit="1" customWidth="1"/>
    <col min="23" max="23" width="4.33203125" bestFit="1" customWidth="1"/>
    <col min="24" max="24" width="5.109375" bestFit="1" customWidth="1"/>
    <col min="25" max="25" width="4.33203125" bestFit="1" customWidth="1"/>
    <col min="26" max="26" width="5" bestFit="1" customWidth="1"/>
    <col min="27" max="27" width="4.33203125" bestFit="1" customWidth="1"/>
    <col min="28" max="28" width="5.109375" bestFit="1" customWidth="1"/>
    <col min="29" max="29" width="5" bestFit="1" customWidth="1"/>
    <col min="30" max="30" width="4.33203125" bestFit="1" customWidth="1"/>
    <col min="31" max="31" width="5.109375" bestFit="1" customWidth="1"/>
    <col min="32" max="32" width="4.33203125" bestFit="1" customWidth="1"/>
    <col min="33" max="33" width="5" bestFit="1" customWidth="1"/>
    <col min="34" max="34" width="4.33203125" bestFit="1" customWidth="1"/>
    <col min="35" max="35" width="5.109375" bestFit="1" customWidth="1"/>
    <col min="36" max="37" width="4.33203125" bestFit="1" customWidth="1"/>
    <col min="38" max="38" width="5.109375" bestFit="1" customWidth="1"/>
    <col min="39" max="39" width="4.33203125" bestFit="1" customWidth="1"/>
    <col min="40" max="40" width="5.33203125" bestFit="1" customWidth="1"/>
    <col min="42" max="42" width="9.33203125" bestFit="1" customWidth="1"/>
    <col min="43" max="43" width="14.33203125" customWidth="1"/>
    <col min="44" max="44" width="14.33203125" style="7" customWidth="1"/>
    <col min="45" max="45" width="18" customWidth="1"/>
    <col min="46" max="46" width="10.5546875" customWidth="1"/>
    <col min="47" max="47" width="9.88671875" customWidth="1"/>
    <col min="48" max="48" width="9.33203125" bestFit="1" customWidth="1"/>
    <col min="49" max="49" width="12.109375" customWidth="1"/>
    <col min="50" max="50" width="9.33203125" bestFit="1" customWidth="1"/>
    <col min="51" max="51" width="11.88671875" customWidth="1"/>
    <col min="52" max="52" width="14.33203125" bestFit="1" customWidth="1"/>
    <col min="53" max="53" width="15.44140625" customWidth="1"/>
    <col min="54" max="54" width="12.88671875" customWidth="1"/>
    <col min="55" max="55" width="14.5546875" bestFit="1" customWidth="1"/>
    <col min="56" max="56" width="13.5546875" customWidth="1"/>
  </cols>
  <sheetData>
    <row r="1" spans="4:68" x14ac:dyDescent="0.3">
      <c r="AO1" s="37"/>
      <c r="BE1" s="37"/>
      <c r="BF1" s="37"/>
      <c r="BG1" s="37"/>
      <c r="BH1" s="37"/>
      <c r="BI1" s="37"/>
      <c r="BJ1" s="37"/>
      <c r="BK1" s="37"/>
    </row>
    <row r="2" spans="4:68" x14ac:dyDescent="0.3">
      <c r="AO2" s="37"/>
      <c r="BE2" s="37"/>
      <c r="BF2" s="37"/>
      <c r="BG2" s="37"/>
      <c r="BH2" s="37"/>
      <c r="BI2" s="37"/>
      <c r="BJ2" s="37"/>
      <c r="BK2" s="37"/>
    </row>
    <row r="3" spans="4:68" x14ac:dyDescent="0.3"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  <c r="AA3" s="37"/>
      <c r="AB3" s="37"/>
      <c r="AC3" s="37"/>
      <c r="AD3" s="37"/>
      <c r="AE3" s="37"/>
      <c r="AF3" s="37"/>
      <c r="AG3" s="37"/>
      <c r="AH3" s="37"/>
      <c r="AI3" s="37"/>
      <c r="AJ3" s="37"/>
      <c r="AK3" s="37"/>
      <c r="AL3" s="37"/>
      <c r="AM3" s="37"/>
      <c r="AN3" s="37"/>
      <c r="AO3" s="37"/>
      <c r="AP3" s="37"/>
      <c r="AQ3" s="37"/>
      <c r="AR3" s="37"/>
      <c r="AS3" s="37"/>
      <c r="AT3" s="37"/>
      <c r="AU3" s="37"/>
      <c r="AV3" s="37"/>
      <c r="AW3" s="37"/>
      <c r="AX3" s="37"/>
      <c r="AY3" s="37"/>
      <c r="AZ3" s="37"/>
      <c r="BA3" s="37"/>
      <c r="BB3" s="37"/>
      <c r="BC3" s="37"/>
      <c r="BD3" s="37"/>
      <c r="BE3" s="37"/>
      <c r="BF3" s="37"/>
      <c r="BG3" s="37"/>
      <c r="BH3" s="37"/>
      <c r="BI3" s="37"/>
      <c r="BJ3" s="37"/>
      <c r="BK3" s="37"/>
      <c r="BL3" s="37"/>
      <c r="BM3" s="37"/>
      <c r="BN3" s="37"/>
      <c r="BO3" s="37"/>
      <c r="BP3" s="37"/>
    </row>
    <row r="4" spans="4:68" ht="15" thickBot="1" x14ac:dyDescent="0.35">
      <c r="D4" s="37"/>
      <c r="E4" s="41"/>
      <c r="F4" s="78"/>
      <c r="G4" s="79" t="s">
        <v>26</v>
      </c>
      <c r="H4" s="80">
        <v>45658</v>
      </c>
      <c r="I4" s="79"/>
      <c r="J4" s="79" t="s">
        <v>27</v>
      </c>
      <c r="K4" s="80">
        <f>EOMONTH(H4,0)</f>
        <v>45688</v>
      </c>
      <c r="L4" s="79"/>
      <c r="M4" s="79"/>
      <c r="N4" s="79">
        <f>(DATEDIF($H$4,$K$4,"D"))+1</f>
        <v>31</v>
      </c>
      <c r="O4" s="81" t="str">
        <f>TEXT(H4,"MMMM")</f>
        <v>January</v>
      </c>
      <c r="P4" s="79"/>
      <c r="Q4" s="78"/>
      <c r="R4" s="78"/>
      <c r="S4" s="78"/>
      <c r="T4" s="41"/>
      <c r="U4" s="41"/>
      <c r="V4" s="41"/>
      <c r="W4" s="41"/>
      <c r="X4" s="41"/>
      <c r="Y4" s="41"/>
      <c r="Z4" s="41"/>
      <c r="AA4" s="41"/>
      <c r="AB4" s="41"/>
      <c r="AC4" s="41"/>
      <c r="AD4" s="41"/>
      <c r="AE4" s="41"/>
      <c r="AF4" s="41"/>
      <c r="AG4" s="41"/>
      <c r="AH4" s="41"/>
      <c r="AI4" s="41"/>
      <c r="AJ4" s="41"/>
      <c r="AK4" s="41"/>
      <c r="AL4" s="41"/>
      <c r="AM4" s="41"/>
      <c r="AN4" s="41"/>
      <c r="AO4" s="37"/>
      <c r="AP4" s="37"/>
      <c r="AQ4" s="37"/>
      <c r="AR4" s="37"/>
      <c r="AS4" s="37"/>
      <c r="AT4" s="37"/>
      <c r="AU4" s="37"/>
      <c r="AV4" s="38"/>
      <c r="AW4" s="37"/>
      <c r="AX4" s="37"/>
      <c r="AY4" s="37"/>
      <c r="AZ4" s="37"/>
      <c r="BA4" s="37"/>
      <c r="BB4" s="37"/>
      <c r="BC4" s="37"/>
      <c r="BD4" s="37"/>
      <c r="BE4" s="37"/>
      <c r="BF4" s="37"/>
      <c r="BG4" s="37"/>
      <c r="BH4" s="37"/>
      <c r="BI4" s="37"/>
      <c r="BJ4" s="37"/>
      <c r="BK4" s="37"/>
      <c r="BL4" s="37"/>
      <c r="BM4" s="37"/>
      <c r="BN4" s="37"/>
      <c r="BO4" s="37"/>
      <c r="BP4" s="37"/>
    </row>
    <row r="5" spans="4:68" ht="15" thickBot="1" x14ac:dyDescent="0.35">
      <c r="D5" s="37"/>
      <c r="E5" s="41"/>
      <c r="F5" s="88" t="s">
        <v>40</v>
      </c>
      <c r="G5" s="89"/>
      <c r="H5" s="89"/>
      <c r="I5" s="8" t="s">
        <v>29</v>
      </c>
      <c r="J5" s="8" t="str">
        <f>TEXT(J6,"DDD")</f>
        <v>Wed</v>
      </c>
      <c r="K5" s="8" t="str">
        <f t="shared" ref="K5:AN5" si="0">TEXT(K6,"DDD")</f>
        <v>Thu</v>
      </c>
      <c r="L5" s="8" t="str">
        <f t="shared" si="0"/>
        <v>Fri</v>
      </c>
      <c r="M5" s="8" t="str">
        <f t="shared" si="0"/>
        <v>Sat</v>
      </c>
      <c r="N5" s="8" t="str">
        <f t="shared" si="0"/>
        <v>Sun</v>
      </c>
      <c r="O5" s="8" t="str">
        <f t="shared" si="0"/>
        <v>Mon</v>
      </c>
      <c r="P5" s="8" t="str">
        <f t="shared" si="0"/>
        <v>Tue</v>
      </c>
      <c r="Q5" s="8" t="str">
        <f t="shared" si="0"/>
        <v>Wed</v>
      </c>
      <c r="R5" s="8" t="str">
        <f t="shared" si="0"/>
        <v>Thu</v>
      </c>
      <c r="S5" s="8" t="str">
        <f t="shared" si="0"/>
        <v>Fri</v>
      </c>
      <c r="T5" s="8" t="str">
        <f t="shared" si="0"/>
        <v>Sat</v>
      </c>
      <c r="U5" s="8" t="str">
        <f t="shared" si="0"/>
        <v>Sun</v>
      </c>
      <c r="V5" s="8" t="str">
        <f t="shared" si="0"/>
        <v>Mon</v>
      </c>
      <c r="W5" s="8" t="str">
        <f t="shared" si="0"/>
        <v>Tue</v>
      </c>
      <c r="X5" s="8" t="str">
        <f t="shared" si="0"/>
        <v>Wed</v>
      </c>
      <c r="Y5" s="8" t="str">
        <f t="shared" si="0"/>
        <v>Thu</v>
      </c>
      <c r="Z5" s="8" t="str">
        <f t="shared" si="0"/>
        <v>Fri</v>
      </c>
      <c r="AA5" s="8" t="str">
        <f t="shared" si="0"/>
        <v>Sat</v>
      </c>
      <c r="AB5" s="8" t="str">
        <f t="shared" si="0"/>
        <v>Sun</v>
      </c>
      <c r="AC5" s="8" t="str">
        <f t="shared" si="0"/>
        <v>Mon</v>
      </c>
      <c r="AD5" s="8" t="str">
        <f t="shared" si="0"/>
        <v>Tue</v>
      </c>
      <c r="AE5" s="8" t="str">
        <f t="shared" si="0"/>
        <v>Wed</v>
      </c>
      <c r="AF5" s="8" t="str">
        <f t="shared" si="0"/>
        <v>Thu</v>
      </c>
      <c r="AG5" s="8" t="str">
        <f t="shared" si="0"/>
        <v>Fri</v>
      </c>
      <c r="AH5" s="8" t="str">
        <f t="shared" si="0"/>
        <v>Sat</v>
      </c>
      <c r="AI5" s="8" t="str">
        <f t="shared" si="0"/>
        <v>Sun</v>
      </c>
      <c r="AJ5" s="8" t="str">
        <f t="shared" si="0"/>
        <v>Mon</v>
      </c>
      <c r="AK5" s="8" t="str">
        <f t="shared" si="0"/>
        <v>Tue</v>
      </c>
      <c r="AL5" s="8" t="str">
        <f t="shared" si="0"/>
        <v>Wed</v>
      </c>
      <c r="AM5" s="8" t="str">
        <f t="shared" si="0"/>
        <v>Thu</v>
      </c>
      <c r="AN5" s="9" t="str">
        <f t="shared" si="0"/>
        <v>Fri</v>
      </c>
      <c r="AO5" s="39"/>
      <c r="AP5" s="39"/>
      <c r="AQ5" s="39"/>
      <c r="AR5" s="39"/>
      <c r="AS5" s="39"/>
      <c r="AT5" s="39"/>
      <c r="AU5" s="39"/>
      <c r="AV5" s="39"/>
      <c r="AW5" s="39"/>
      <c r="AX5" s="39"/>
      <c r="AY5" s="39"/>
      <c r="AZ5" s="39"/>
      <c r="BA5" s="39"/>
      <c r="BB5" s="39"/>
      <c r="BC5" s="39"/>
      <c r="BD5" s="39"/>
      <c r="BE5" s="39"/>
      <c r="BF5" s="37"/>
      <c r="BG5" s="37"/>
      <c r="BH5" s="37"/>
      <c r="BI5" s="37"/>
      <c r="BJ5" s="37"/>
      <c r="BK5" s="37"/>
    </row>
    <row r="6" spans="4:68" ht="18.600000000000001" thickBot="1" x14ac:dyDescent="0.35">
      <c r="D6" s="37"/>
      <c r="E6" s="41"/>
      <c r="F6" s="10" t="s">
        <v>24</v>
      </c>
      <c r="G6" s="11" t="s">
        <v>23</v>
      </c>
      <c r="H6" s="12" t="s">
        <v>25</v>
      </c>
      <c r="I6" s="75" t="s">
        <v>28</v>
      </c>
      <c r="J6" s="76">
        <f>H4</f>
        <v>45658</v>
      </c>
      <c r="K6" s="76">
        <f>IF(J6&lt;$K$4,J6+1,"")</f>
        <v>45659</v>
      </c>
      <c r="L6" s="76">
        <f t="shared" ref="L6:AM6" si="1">IF(K6&lt;$K$4,K6+1,"")</f>
        <v>45660</v>
      </c>
      <c r="M6" s="76">
        <f t="shared" si="1"/>
        <v>45661</v>
      </c>
      <c r="N6" s="76">
        <f t="shared" si="1"/>
        <v>45662</v>
      </c>
      <c r="O6" s="76">
        <f t="shared" si="1"/>
        <v>45663</v>
      </c>
      <c r="P6" s="76">
        <f t="shared" si="1"/>
        <v>45664</v>
      </c>
      <c r="Q6" s="76">
        <f t="shared" si="1"/>
        <v>45665</v>
      </c>
      <c r="R6" s="76">
        <f t="shared" si="1"/>
        <v>45666</v>
      </c>
      <c r="S6" s="76">
        <f t="shared" si="1"/>
        <v>45667</v>
      </c>
      <c r="T6" s="76">
        <f t="shared" si="1"/>
        <v>45668</v>
      </c>
      <c r="U6" s="76">
        <f t="shared" si="1"/>
        <v>45669</v>
      </c>
      <c r="V6" s="76">
        <f t="shared" si="1"/>
        <v>45670</v>
      </c>
      <c r="W6" s="76">
        <f t="shared" si="1"/>
        <v>45671</v>
      </c>
      <c r="X6" s="76">
        <f t="shared" si="1"/>
        <v>45672</v>
      </c>
      <c r="Y6" s="76">
        <f t="shared" si="1"/>
        <v>45673</v>
      </c>
      <c r="Z6" s="76">
        <f t="shared" si="1"/>
        <v>45674</v>
      </c>
      <c r="AA6" s="76">
        <f t="shared" si="1"/>
        <v>45675</v>
      </c>
      <c r="AB6" s="76">
        <f t="shared" si="1"/>
        <v>45676</v>
      </c>
      <c r="AC6" s="76">
        <f t="shared" si="1"/>
        <v>45677</v>
      </c>
      <c r="AD6" s="76">
        <f t="shared" si="1"/>
        <v>45678</v>
      </c>
      <c r="AE6" s="76">
        <f t="shared" si="1"/>
        <v>45679</v>
      </c>
      <c r="AF6" s="76">
        <f t="shared" si="1"/>
        <v>45680</v>
      </c>
      <c r="AG6" s="76">
        <f t="shared" si="1"/>
        <v>45681</v>
      </c>
      <c r="AH6" s="76">
        <f t="shared" si="1"/>
        <v>45682</v>
      </c>
      <c r="AI6" s="76">
        <f t="shared" si="1"/>
        <v>45683</v>
      </c>
      <c r="AJ6" s="76">
        <f t="shared" si="1"/>
        <v>45684</v>
      </c>
      <c r="AK6" s="76">
        <f t="shared" si="1"/>
        <v>45685</v>
      </c>
      <c r="AL6" s="76">
        <f t="shared" si="1"/>
        <v>45686</v>
      </c>
      <c r="AM6" s="76">
        <f t="shared" si="1"/>
        <v>45687</v>
      </c>
      <c r="AN6" s="77">
        <f t="shared" ref="AN6" si="2">IF(AM6&lt;=$K$4,AM6+1,"")</f>
        <v>45688</v>
      </c>
      <c r="AO6" s="40"/>
      <c r="AP6" s="34" t="s">
        <v>24</v>
      </c>
      <c r="AQ6" s="35" t="s">
        <v>23</v>
      </c>
      <c r="AR6" s="35" t="s">
        <v>41</v>
      </c>
      <c r="AS6" s="35" t="s">
        <v>25</v>
      </c>
      <c r="AT6" s="35" t="s">
        <v>30</v>
      </c>
      <c r="AU6" s="35" t="s">
        <v>31</v>
      </c>
      <c r="AV6" s="35" t="s">
        <v>32</v>
      </c>
      <c r="AW6" s="35" t="s">
        <v>38</v>
      </c>
      <c r="AX6" s="35" t="s">
        <v>29</v>
      </c>
      <c r="AY6" s="35" t="s">
        <v>33</v>
      </c>
      <c r="AZ6" s="35" t="s">
        <v>34</v>
      </c>
      <c r="BA6" s="35" t="s">
        <v>35</v>
      </c>
      <c r="BB6" s="35" t="s">
        <v>36</v>
      </c>
      <c r="BC6" s="35" t="s">
        <v>37</v>
      </c>
      <c r="BD6" s="36" t="s">
        <v>39</v>
      </c>
      <c r="BE6" s="39"/>
      <c r="BF6" s="37"/>
      <c r="BG6" s="37"/>
      <c r="BH6" s="37"/>
      <c r="BI6" s="37"/>
      <c r="BJ6" s="37"/>
      <c r="BK6" s="37"/>
    </row>
    <row r="7" spans="4:68" ht="15.6" x14ac:dyDescent="0.3">
      <c r="D7" s="37"/>
      <c r="E7" s="41"/>
      <c r="F7" s="16">
        <v>1</v>
      </c>
      <c r="G7" s="17">
        <v>1001</v>
      </c>
      <c r="H7" s="18" t="s">
        <v>3</v>
      </c>
      <c r="I7" s="60">
        <f>COUNTIF($J$5:$AN$5,"SUN")</f>
        <v>4</v>
      </c>
      <c r="J7" s="63" t="s">
        <v>43</v>
      </c>
      <c r="K7" s="63" t="s">
        <v>43</v>
      </c>
      <c r="L7" s="63" t="s">
        <v>43</v>
      </c>
      <c r="M7" s="63" t="s">
        <v>43</v>
      </c>
      <c r="N7" s="63" t="str">
        <f t="shared" ref="N7:AI15" si="3">IF(N$5="Sun","WO","")</f>
        <v>WO</v>
      </c>
      <c r="O7" s="63" t="s">
        <v>42</v>
      </c>
      <c r="P7" s="63" t="s">
        <v>42</v>
      </c>
      <c r="Q7" s="63" t="s">
        <v>44</v>
      </c>
      <c r="R7" s="63" t="s">
        <v>42</v>
      </c>
      <c r="S7" s="63" t="s">
        <v>42</v>
      </c>
      <c r="T7" s="63" t="s">
        <v>42</v>
      </c>
      <c r="U7" s="63" t="str">
        <f t="shared" si="3"/>
        <v>WO</v>
      </c>
      <c r="V7" s="63" t="s">
        <v>43</v>
      </c>
      <c r="W7" s="63" t="s">
        <v>43</v>
      </c>
      <c r="X7" s="63" t="s">
        <v>42</v>
      </c>
      <c r="Y7" s="63" t="s">
        <v>44</v>
      </c>
      <c r="Z7" s="63" t="s">
        <v>42</v>
      </c>
      <c r="AA7" s="63" t="s">
        <v>42</v>
      </c>
      <c r="AB7" s="63" t="str">
        <f t="shared" si="3"/>
        <v>WO</v>
      </c>
      <c r="AC7" s="63" t="s">
        <v>42</v>
      </c>
      <c r="AD7" s="63" t="s">
        <v>42</v>
      </c>
      <c r="AE7" s="63" t="s">
        <v>42</v>
      </c>
      <c r="AF7" s="63" t="s">
        <v>42</v>
      </c>
      <c r="AG7" s="63" t="s">
        <v>42</v>
      </c>
      <c r="AH7" s="63" t="s">
        <v>42</v>
      </c>
      <c r="AI7" s="63" t="str">
        <f t="shared" si="3"/>
        <v>WO</v>
      </c>
      <c r="AJ7" s="63" t="s">
        <v>42</v>
      </c>
      <c r="AK7" s="63" t="s">
        <v>42</v>
      </c>
      <c r="AL7" s="63" t="s">
        <v>42</v>
      </c>
      <c r="AM7" s="63" t="s">
        <v>42</v>
      </c>
      <c r="AN7" s="72" t="s">
        <v>42</v>
      </c>
      <c r="AO7" s="39"/>
      <c r="AP7" s="28">
        <v>1</v>
      </c>
      <c r="AQ7" s="21">
        <v>1001</v>
      </c>
      <c r="AR7" s="33" t="str">
        <f t="shared" ref="AR7:AR26" si="4">$O$4</f>
        <v>January</v>
      </c>
      <c r="AS7" s="21" t="s">
        <v>3</v>
      </c>
      <c r="AT7" s="29">
        <f t="shared" ref="AT7:AT26" si="5">COUNTIF($J7:$AN7,"*P*")</f>
        <v>19</v>
      </c>
      <c r="AU7" s="29">
        <f t="shared" ref="AU7:AU26" si="6">COUNTIF($J7:$AN7,"*A*")</f>
        <v>6</v>
      </c>
      <c r="AV7" s="29">
        <f t="shared" ref="AV7:AV26" si="7">COUNTIF($J7:$AN7,"*L*")</f>
        <v>2</v>
      </c>
      <c r="AW7" s="29">
        <f t="shared" ref="AW7:AW26" si="8">I7</f>
        <v>4</v>
      </c>
      <c r="AX7" s="30">
        <f>$N$4</f>
        <v>31</v>
      </c>
      <c r="AY7" s="29">
        <f>JANReport[[#This Row],[Days]]-JANReport[[#This Row],[Adsent]]</f>
        <v>25</v>
      </c>
      <c r="AZ7" s="31">
        <v>10000</v>
      </c>
      <c r="BA7" s="32">
        <f>JANReport[[#This Row],[Salary]]/JANReport[[#This Row],[Days]]</f>
        <v>322.58064516129031</v>
      </c>
      <c r="BB7" s="31">
        <f>JANReport[[#This Row],[Perday salary]]*JANReport[[#This Row],[Adsent]]</f>
        <v>1935.483870967742</v>
      </c>
      <c r="BC7" s="31">
        <f>JANReport[[#This Row],[Salary]]-JANReport[[#This Row],[Detuction ]]</f>
        <v>8064.5161290322576</v>
      </c>
      <c r="BD7" s="29"/>
      <c r="BE7" s="39"/>
      <c r="BF7" s="37"/>
      <c r="BG7" s="37"/>
      <c r="BH7" s="37"/>
      <c r="BI7" s="37"/>
      <c r="BJ7" s="37"/>
      <c r="BK7" s="37"/>
    </row>
    <row r="8" spans="4:68" ht="15.6" x14ac:dyDescent="0.3">
      <c r="D8" s="37"/>
      <c r="E8" s="41"/>
      <c r="F8" s="20">
        <v>2</v>
      </c>
      <c r="G8" s="21">
        <v>1002</v>
      </c>
      <c r="H8" s="22" t="s">
        <v>4</v>
      </c>
      <c r="I8" s="61">
        <f t="shared" ref="I8:I26" si="9">COUNTIF($J$5:$AN$5,"SUN")</f>
        <v>4</v>
      </c>
      <c r="J8" s="64" t="s">
        <v>43</v>
      </c>
      <c r="K8" s="64" t="s">
        <v>43</v>
      </c>
      <c r="L8" s="64" t="s">
        <v>43</v>
      </c>
      <c r="M8" s="64" t="s">
        <v>43</v>
      </c>
      <c r="N8" s="64" t="str">
        <f t="shared" si="3"/>
        <v>WO</v>
      </c>
      <c r="O8" s="64" t="s">
        <v>43</v>
      </c>
      <c r="P8" s="64" t="s">
        <v>43</v>
      </c>
      <c r="Q8" s="64" t="s">
        <v>44</v>
      </c>
      <c r="R8" s="64" t="s">
        <v>43</v>
      </c>
      <c r="S8" s="64" t="s">
        <v>43</v>
      </c>
      <c r="T8" s="64" t="s">
        <v>43</v>
      </c>
      <c r="U8" s="64" t="str">
        <f t="shared" si="3"/>
        <v>WO</v>
      </c>
      <c r="V8" s="64" t="s">
        <v>42</v>
      </c>
      <c r="W8" s="64" t="s">
        <v>42</v>
      </c>
      <c r="X8" s="64" t="s">
        <v>42</v>
      </c>
      <c r="Y8" s="64" t="s">
        <v>44</v>
      </c>
      <c r="Z8" s="64" t="s">
        <v>42</v>
      </c>
      <c r="AA8" s="64" t="s">
        <v>42</v>
      </c>
      <c r="AB8" s="64" t="str">
        <f t="shared" si="3"/>
        <v>WO</v>
      </c>
      <c r="AC8" s="64" t="s">
        <v>42</v>
      </c>
      <c r="AD8" s="64" t="s">
        <v>42</v>
      </c>
      <c r="AE8" s="64" t="s">
        <v>42</v>
      </c>
      <c r="AF8" s="64" t="s">
        <v>42</v>
      </c>
      <c r="AG8" s="64" t="s">
        <v>42</v>
      </c>
      <c r="AH8" s="64" t="s">
        <v>42</v>
      </c>
      <c r="AI8" s="64" t="str">
        <f t="shared" si="3"/>
        <v>WO</v>
      </c>
      <c r="AJ8" s="64" t="s">
        <v>42</v>
      </c>
      <c r="AK8" s="64" t="s">
        <v>42</v>
      </c>
      <c r="AL8" s="64" t="s">
        <v>42</v>
      </c>
      <c r="AM8" s="64" t="s">
        <v>42</v>
      </c>
      <c r="AN8" s="73" t="s">
        <v>42</v>
      </c>
      <c r="AO8" s="39"/>
      <c r="AP8" s="28">
        <v>2</v>
      </c>
      <c r="AQ8" s="21">
        <v>1002</v>
      </c>
      <c r="AR8" s="33" t="str">
        <f t="shared" si="4"/>
        <v>January</v>
      </c>
      <c r="AS8" s="21" t="s">
        <v>4</v>
      </c>
      <c r="AT8" s="29">
        <f t="shared" si="5"/>
        <v>16</v>
      </c>
      <c r="AU8" s="29">
        <f t="shared" si="6"/>
        <v>9</v>
      </c>
      <c r="AV8" s="29">
        <f t="shared" si="7"/>
        <v>2</v>
      </c>
      <c r="AW8" s="29">
        <f t="shared" si="8"/>
        <v>4</v>
      </c>
      <c r="AX8" s="30">
        <f t="shared" ref="AX8:AX26" si="10">$N$4</f>
        <v>31</v>
      </c>
      <c r="AY8" s="29">
        <f>JANReport[[#This Row],[Days]]-JANReport[[#This Row],[Adsent]]</f>
        <v>22</v>
      </c>
      <c r="AZ8" s="31">
        <v>20000</v>
      </c>
      <c r="BA8" s="32">
        <f>JANReport[[#This Row],[Salary]]/JANReport[[#This Row],[Days]]</f>
        <v>645.16129032258061</v>
      </c>
      <c r="BB8" s="31">
        <f>JANReport[[#This Row],[Perday salary]]*JANReport[[#This Row],[Adsent]]</f>
        <v>5806.4516129032254</v>
      </c>
      <c r="BC8" s="31">
        <f>JANReport[[#This Row],[Salary]]-JANReport[[#This Row],[Detuction ]]</f>
        <v>14193.548387096775</v>
      </c>
      <c r="BD8" s="29"/>
      <c r="BE8" s="39"/>
      <c r="BF8" s="37"/>
      <c r="BG8" s="37"/>
      <c r="BH8" s="37"/>
      <c r="BI8" s="37"/>
      <c r="BJ8" s="37"/>
      <c r="BK8" s="37"/>
    </row>
    <row r="9" spans="4:68" ht="15.6" x14ac:dyDescent="0.3">
      <c r="D9" s="37"/>
      <c r="E9" s="41"/>
      <c r="F9" s="20">
        <v>3</v>
      </c>
      <c r="G9" s="21">
        <v>1003</v>
      </c>
      <c r="H9" s="22" t="s">
        <v>5</v>
      </c>
      <c r="I9" s="61">
        <f t="shared" si="9"/>
        <v>4</v>
      </c>
      <c r="J9" s="64" t="s">
        <v>42</v>
      </c>
      <c r="K9" s="64" t="s">
        <v>42</v>
      </c>
      <c r="L9" s="64" t="s">
        <v>42</v>
      </c>
      <c r="M9" s="64" t="s">
        <v>42</v>
      </c>
      <c r="N9" s="64" t="str">
        <f t="shared" si="3"/>
        <v>WO</v>
      </c>
      <c r="O9" s="64" t="s">
        <v>42</v>
      </c>
      <c r="P9" s="64" t="s">
        <v>42</v>
      </c>
      <c r="Q9" s="64" t="s">
        <v>44</v>
      </c>
      <c r="R9" s="64" t="s">
        <v>42</v>
      </c>
      <c r="S9" s="64" t="s">
        <v>42</v>
      </c>
      <c r="T9" s="64" t="s">
        <v>42</v>
      </c>
      <c r="U9" s="64" t="str">
        <f t="shared" si="3"/>
        <v>WO</v>
      </c>
      <c r="V9" s="64" t="s">
        <v>42</v>
      </c>
      <c r="W9" s="64" t="s">
        <v>42</v>
      </c>
      <c r="X9" s="64" t="s">
        <v>42</v>
      </c>
      <c r="Y9" s="64" t="s">
        <v>44</v>
      </c>
      <c r="Z9" s="64" t="s">
        <v>42</v>
      </c>
      <c r="AA9" s="64" t="s">
        <v>42</v>
      </c>
      <c r="AB9" s="64" t="str">
        <f t="shared" si="3"/>
        <v>WO</v>
      </c>
      <c r="AC9" s="64" t="s">
        <v>42</v>
      </c>
      <c r="AD9" s="64" t="s">
        <v>42</v>
      </c>
      <c r="AE9" s="64" t="s">
        <v>42</v>
      </c>
      <c r="AF9" s="64" t="s">
        <v>43</v>
      </c>
      <c r="AG9" s="64" t="s">
        <v>42</v>
      </c>
      <c r="AH9" s="64" t="s">
        <v>42</v>
      </c>
      <c r="AI9" s="64" t="str">
        <f t="shared" si="3"/>
        <v>WO</v>
      </c>
      <c r="AJ9" s="64" t="s">
        <v>42</v>
      </c>
      <c r="AK9" s="64" t="s">
        <v>42</v>
      </c>
      <c r="AL9" s="64" t="s">
        <v>42</v>
      </c>
      <c r="AM9" s="64" t="s">
        <v>42</v>
      </c>
      <c r="AN9" s="73" t="s">
        <v>42</v>
      </c>
      <c r="AO9" s="39"/>
      <c r="AP9" s="28">
        <v>3</v>
      </c>
      <c r="AQ9" s="21">
        <v>1003</v>
      </c>
      <c r="AR9" s="33" t="str">
        <f t="shared" si="4"/>
        <v>January</v>
      </c>
      <c r="AS9" s="21" t="s">
        <v>5</v>
      </c>
      <c r="AT9" s="29">
        <f t="shared" si="5"/>
        <v>24</v>
      </c>
      <c r="AU9" s="29">
        <f t="shared" si="6"/>
        <v>1</v>
      </c>
      <c r="AV9" s="29">
        <f t="shared" si="7"/>
        <v>2</v>
      </c>
      <c r="AW9" s="29">
        <f t="shared" si="8"/>
        <v>4</v>
      </c>
      <c r="AX9" s="30">
        <f t="shared" si="10"/>
        <v>31</v>
      </c>
      <c r="AY9" s="29">
        <f>JANReport[[#This Row],[Days]]-JANReport[[#This Row],[Adsent]]</f>
        <v>30</v>
      </c>
      <c r="AZ9" s="31">
        <v>25000</v>
      </c>
      <c r="BA9" s="32">
        <f>JANReport[[#This Row],[Salary]]/JANReport[[#This Row],[Days]]</f>
        <v>806.45161290322585</v>
      </c>
      <c r="BB9" s="31">
        <f>JANReport[[#This Row],[Perday salary]]*JANReport[[#This Row],[Adsent]]</f>
        <v>806.45161290322585</v>
      </c>
      <c r="BC9" s="31">
        <f>JANReport[[#This Row],[Salary]]-JANReport[[#This Row],[Detuction ]]</f>
        <v>24193.548387096773</v>
      </c>
      <c r="BD9" s="29"/>
      <c r="BE9" s="39"/>
      <c r="BF9" s="37"/>
      <c r="BG9" s="37"/>
      <c r="BH9" s="37"/>
      <c r="BI9" s="37"/>
      <c r="BJ9" s="37"/>
      <c r="BK9" s="37"/>
    </row>
    <row r="10" spans="4:68" ht="15.6" x14ac:dyDescent="0.3">
      <c r="D10" s="37"/>
      <c r="E10" s="41"/>
      <c r="F10" s="20">
        <v>4</v>
      </c>
      <c r="G10" s="21">
        <v>1004</v>
      </c>
      <c r="H10" s="22" t="s">
        <v>6</v>
      </c>
      <c r="I10" s="61">
        <f t="shared" si="9"/>
        <v>4</v>
      </c>
      <c r="J10" s="64" t="s">
        <v>42</v>
      </c>
      <c r="K10" s="64" t="s">
        <v>42</v>
      </c>
      <c r="L10" s="64" t="s">
        <v>42</v>
      </c>
      <c r="M10" s="64" t="s">
        <v>42</v>
      </c>
      <c r="N10" s="64" t="str">
        <f t="shared" si="3"/>
        <v>WO</v>
      </c>
      <c r="O10" s="64" t="s">
        <v>42</v>
      </c>
      <c r="P10" s="64" t="s">
        <v>42</v>
      </c>
      <c r="Q10" s="64" t="s">
        <v>44</v>
      </c>
      <c r="R10" s="64" t="s">
        <v>42</v>
      </c>
      <c r="S10" s="64" t="s">
        <v>42</v>
      </c>
      <c r="T10" s="64" t="s">
        <v>42</v>
      </c>
      <c r="U10" s="64" t="str">
        <f t="shared" si="3"/>
        <v>WO</v>
      </c>
      <c r="V10" s="64" t="s">
        <v>42</v>
      </c>
      <c r="W10" s="64" t="s">
        <v>42</v>
      </c>
      <c r="X10" s="64" t="s">
        <v>42</v>
      </c>
      <c r="Y10" s="64" t="s">
        <v>44</v>
      </c>
      <c r="Z10" s="64" t="s">
        <v>42</v>
      </c>
      <c r="AA10" s="64" t="s">
        <v>42</v>
      </c>
      <c r="AB10" s="64" t="str">
        <f t="shared" si="3"/>
        <v>WO</v>
      </c>
      <c r="AC10" s="64" t="s">
        <v>42</v>
      </c>
      <c r="AD10" s="64" t="s">
        <v>42</v>
      </c>
      <c r="AE10" s="64" t="s">
        <v>42</v>
      </c>
      <c r="AF10" s="64" t="s">
        <v>42</v>
      </c>
      <c r="AG10" s="64" t="s">
        <v>42</v>
      </c>
      <c r="AH10" s="64" t="s">
        <v>42</v>
      </c>
      <c r="AI10" s="64" t="str">
        <f t="shared" si="3"/>
        <v>WO</v>
      </c>
      <c r="AJ10" s="64" t="s">
        <v>42</v>
      </c>
      <c r="AK10" s="64" t="s">
        <v>42</v>
      </c>
      <c r="AL10" s="64" t="s">
        <v>42</v>
      </c>
      <c r="AM10" s="64" t="s">
        <v>42</v>
      </c>
      <c r="AN10" s="73" t="s">
        <v>42</v>
      </c>
      <c r="AO10" s="39"/>
      <c r="AP10" s="28">
        <v>4</v>
      </c>
      <c r="AQ10" s="21">
        <v>1004</v>
      </c>
      <c r="AR10" s="33" t="str">
        <f t="shared" si="4"/>
        <v>January</v>
      </c>
      <c r="AS10" s="21" t="s">
        <v>6</v>
      </c>
      <c r="AT10" s="29">
        <f t="shared" si="5"/>
        <v>25</v>
      </c>
      <c r="AU10" s="29">
        <f t="shared" si="6"/>
        <v>0</v>
      </c>
      <c r="AV10" s="29">
        <f t="shared" si="7"/>
        <v>2</v>
      </c>
      <c r="AW10" s="29">
        <f t="shared" si="8"/>
        <v>4</v>
      </c>
      <c r="AX10" s="30">
        <f t="shared" si="10"/>
        <v>31</v>
      </c>
      <c r="AY10" s="29">
        <f>JANReport[[#This Row],[Days]]-JANReport[[#This Row],[Adsent]]</f>
        <v>31</v>
      </c>
      <c r="AZ10" s="31">
        <v>30000</v>
      </c>
      <c r="BA10" s="32">
        <f>JANReport[[#This Row],[Salary]]/JANReport[[#This Row],[Days]]</f>
        <v>967.74193548387098</v>
      </c>
      <c r="BB10" s="31">
        <f>JANReport[[#This Row],[Perday salary]]*JANReport[[#This Row],[Adsent]]</f>
        <v>0</v>
      </c>
      <c r="BC10" s="31">
        <f>JANReport[[#This Row],[Salary]]-JANReport[[#This Row],[Detuction ]]</f>
        <v>30000</v>
      </c>
      <c r="BD10" s="29"/>
      <c r="BE10" s="39"/>
      <c r="BF10" s="37"/>
      <c r="BG10" s="37"/>
      <c r="BH10" s="37"/>
      <c r="BI10" s="37"/>
      <c r="BJ10" s="37"/>
      <c r="BK10" s="37"/>
    </row>
    <row r="11" spans="4:68" ht="15.6" x14ac:dyDescent="0.3">
      <c r="D11" s="37"/>
      <c r="E11" s="41"/>
      <c r="F11" s="20">
        <v>5</v>
      </c>
      <c r="G11" s="21">
        <v>1005</v>
      </c>
      <c r="H11" s="22" t="s">
        <v>7</v>
      </c>
      <c r="I11" s="61">
        <f t="shared" si="9"/>
        <v>4</v>
      </c>
      <c r="J11" s="64" t="s">
        <v>42</v>
      </c>
      <c r="K11" s="64" t="s">
        <v>42</v>
      </c>
      <c r="L11" s="64" t="s">
        <v>42</v>
      </c>
      <c r="M11" s="64" t="s">
        <v>42</v>
      </c>
      <c r="N11" s="64" t="str">
        <f t="shared" si="3"/>
        <v>WO</v>
      </c>
      <c r="O11" s="64" t="s">
        <v>42</v>
      </c>
      <c r="P11" s="64" t="s">
        <v>42</v>
      </c>
      <c r="Q11" s="64" t="s">
        <v>44</v>
      </c>
      <c r="R11" s="64" t="s">
        <v>42</v>
      </c>
      <c r="S11" s="64" t="s">
        <v>42</v>
      </c>
      <c r="T11" s="64" t="s">
        <v>42</v>
      </c>
      <c r="U11" s="64" t="str">
        <f t="shared" si="3"/>
        <v>WO</v>
      </c>
      <c r="V11" s="64" t="s">
        <v>42</v>
      </c>
      <c r="W11" s="64" t="s">
        <v>43</v>
      </c>
      <c r="X11" s="64" t="s">
        <v>42</v>
      </c>
      <c r="Y11" s="64" t="s">
        <v>44</v>
      </c>
      <c r="Z11" s="64" t="s">
        <v>42</v>
      </c>
      <c r="AA11" s="64" t="s">
        <v>42</v>
      </c>
      <c r="AB11" s="64" t="str">
        <f t="shared" si="3"/>
        <v>WO</v>
      </c>
      <c r="AC11" s="64" t="s">
        <v>42</v>
      </c>
      <c r="AD11" s="64" t="s">
        <v>42</v>
      </c>
      <c r="AE11" s="64" t="s">
        <v>42</v>
      </c>
      <c r="AF11" s="64" t="s">
        <v>42</v>
      </c>
      <c r="AG11" s="64" t="s">
        <v>42</v>
      </c>
      <c r="AH11" s="64" t="s">
        <v>42</v>
      </c>
      <c r="AI11" s="64" t="str">
        <f t="shared" si="3"/>
        <v>WO</v>
      </c>
      <c r="AJ11" s="64" t="s">
        <v>42</v>
      </c>
      <c r="AK11" s="64" t="s">
        <v>43</v>
      </c>
      <c r="AL11" s="64" t="s">
        <v>42</v>
      </c>
      <c r="AM11" s="64" t="s">
        <v>42</v>
      </c>
      <c r="AN11" s="73" t="s">
        <v>42</v>
      </c>
      <c r="AO11" s="39"/>
      <c r="AP11" s="28">
        <v>5</v>
      </c>
      <c r="AQ11" s="21">
        <v>1005</v>
      </c>
      <c r="AR11" s="33" t="str">
        <f t="shared" si="4"/>
        <v>January</v>
      </c>
      <c r="AS11" s="21" t="s">
        <v>7</v>
      </c>
      <c r="AT11" s="29">
        <f t="shared" si="5"/>
        <v>23</v>
      </c>
      <c r="AU11" s="29">
        <f t="shared" si="6"/>
        <v>2</v>
      </c>
      <c r="AV11" s="29">
        <f t="shared" si="7"/>
        <v>2</v>
      </c>
      <c r="AW11" s="29">
        <f t="shared" si="8"/>
        <v>4</v>
      </c>
      <c r="AX11" s="30">
        <f t="shared" si="10"/>
        <v>31</v>
      </c>
      <c r="AY11" s="29">
        <f>JANReport[[#This Row],[Days]]-JANReport[[#This Row],[Adsent]]</f>
        <v>29</v>
      </c>
      <c r="AZ11" s="31">
        <v>45000</v>
      </c>
      <c r="BA11" s="32">
        <f>JANReport[[#This Row],[Salary]]/JANReport[[#This Row],[Days]]</f>
        <v>1451.6129032258063</v>
      </c>
      <c r="BB11" s="31">
        <f>JANReport[[#This Row],[Perday salary]]*JANReport[[#This Row],[Adsent]]</f>
        <v>2903.2258064516127</v>
      </c>
      <c r="BC11" s="31">
        <f>JANReport[[#This Row],[Salary]]-JANReport[[#This Row],[Detuction ]]</f>
        <v>42096.774193548386</v>
      </c>
      <c r="BD11" s="29"/>
      <c r="BE11" s="39"/>
      <c r="BF11" s="37"/>
      <c r="BG11" s="37"/>
      <c r="BH11" s="37"/>
      <c r="BI11" s="37"/>
      <c r="BJ11" s="37"/>
      <c r="BK11" s="37"/>
    </row>
    <row r="12" spans="4:68" ht="15.6" x14ac:dyDescent="0.3">
      <c r="D12" s="37"/>
      <c r="E12" s="41"/>
      <c r="F12" s="20">
        <v>6</v>
      </c>
      <c r="G12" s="21">
        <v>1006</v>
      </c>
      <c r="H12" s="22" t="s">
        <v>8</v>
      </c>
      <c r="I12" s="61">
        <f t="shared" si="9"/>
        <v>4</v>
      </c>
      <c r="J12" s="64" t="s">
        <v>42</v>
      </c>
      <c r="K12" s="64" t="s">
        <v>42</v>
      </c>
      <c r="L12" s="64" t="s">
        <v>42</v>
      </c>
      <c r="M12" s="64" t="s">
        <v>42</v>
      </c>
      <c r="N12" s="64" t="str">
        <f t="shared" si="3"/>
        <v>WO</v>
      </c>
      <c r="O12" s="64" t="s">
        <v>42</v>
      </c>
      <c r="P12" s="64" t="s">
        <v>42</v>
      </c>
      <c r="Q12" s="64" t="s">
        <v>44</v>
      </c>
      <c r="R12" s="64" t="s">
        <v>42</v>
      </c>
      <c r="S12" s="64" t="s">
        <v>42</v>
      </c>
      <c r="T12" s="64" t="s">
        <v>42</v>
      </c>
      <c r="U12" s="64" t="str">
        <f t="shared" si="3"/>
        <v>WO</v>
      </c>
      <c r="V12" s="64" t="s">
        <v>42</v>
      </c>
      <c r="W12" s="64" t="s">
        <v>42</v>
      </c>
      <c r="X12" s="64" t="s">
        <v>42</v>
      </c>
      <c r="Y12" s="64" t="s">
        <v>44</v>
      </c>
      <c r="Z12" s="64" t="s">
        <v>42</v>
      </c>
      <c r="AA12" s="64" t="s">
        <v>42</v>
      </c>
      <c r="AB12" s="64" t="str">
        <f t="shared" si="3"/>
        <v>WO</v>
      </c>
      <c r="AC12" s="64" t="s">
        <v>42</v>
      </c>
      <c r="AD12" s="64" t="s">
        <v>42</v>
      </c>
      <c r="AE12" s="64" t="s">
        <v>42</v>
      </c>
      <c r="AF12" s="64" t="s">
        <v>42</v>
      </c>
      <c r="AG12" s="64" t="s">
        <v>42</v>
      </c>
      <c r="AH12" s="64" t="s">
        <v>42</v>
      </c>
      <c r="AI12" s="64" t="str">
        <f t="shared" si="3"/>
        <v>WO</v>
      </c>
      <c r="AJ12" s="64" t="s">
        <v>42</v>
      </c>
      <c r="AK12" s="64" t="s">
        <v>42</v>
      </c>
      <c r="AL12" s="64" t="s">
        <v>42</v>
      </c>
      <c r="AM12" s="64" t="s">
        <v>42</v>
      </c>
      <c r="AN12" s="73" t="s">
        <v>42</v>
      </c>
      <c r="AO12" s="39"/>
      <c r="AP12" s="28">
        <v>6</v>
      </c>
      <c r="AQ12" s="21">
        <v>1006</v>
      </c>
      <c r="AR12" s="33" t="str">
        <f t="shared" si="4"/>
        <v>January</v>
      </c>
      <c r="AS12" s="21" t="s">
        <v>8</v>
      </c>
      <c r="AT12" s="29">
        <f t="shared" si="5"/>
        <v>25</v>
      </c>
      <c r="AU12" s="29">
        <f t="shared" si="6"/>
        <v>0</v>
      </c>
      <c r="AV12" s="29">
        <f t="shared" si="7"/>
        <v>2</v>
      </c>
      <c r="AW12" s="29">
        <f t="shared" si="8"/>
        <v>4</v>
      </c>
      <c r="AX12" s="30">
        <f t="shared" si="10"/>
        <v>31</v>
      </c>
      <c r="AY12" s="29">
        <f>JANReport[[#This Row],[Days]]-JANReport[[#This Row],[Adsent]]</f>
        <v>31</v>
      </c>
      <c r="AZ12" s="31">
        <v>15000</v>
      </c>
      <c r="BA12" s="32">
        <f>JANReport[[#This Row],[Salary]]/JANReport[[#This Row],[Days]]</f>
        <v>483.87096774193549</v>
      </c>
      <c r="BB12" s="31">
        <f>JANReport[[#This Row],[Perday salary]]*JANReport[[#This Row],[Adsent]]</f>
        <v>0</v>
      </c>
      <c r="BC12" s="31">
        <f>JANReport[[#This Row],[Salary]]-JANReport[[#This Row],[Detuction ]]</f>
        <v>15000</v>
      </c>
      <c r="BD12" s="29"/>
      <c r="BE12" s="39"/>
      <c r="BF12" s="37"/>
      <c r="BG12" s="37"/>
      <c r="BH12" s="37"/>
      <c r="BI12" s="37"/>
      <c r="BJ12" s="37"/>
      <c r="BK12" s="37"/>
    </row>
    <row r="13" spans="4:68" ht="15.6" x14ac:dyDescent="0.3">
      <c r="D13" s="37"/>
      <c r="E13" s="41"/>
      <c r="F13" s="20">
        <v>7</v>
      </c>
      <c r="G13" s="21">
        <v>1007</v>
      </c>
      <c r="H13" s="22" t="s">
        <v>9</v>
      </c>
      <c r="I13" s="61">
        <f t="shared" si="9"/>
        <v>4</v>
      </c>
      <c r="J13" s="64" t="s">
        <v>42</v>
      </c>
      <c r="K13" s="64" t="s">
        <v>42</v>
      </c>
      <c r="L13" s="64" t="s">
        <v>42</v>
      </c>
      <c r="M13" s="64" t="s">
        <v>42</v>
      </c>
      <c r="N13" s="64" t="str">
        <f t="shared" si="3"/>
        <v>WO</v>
      </c>
      <c r="O13" s="64" t="s">
        <v>42</v>
      </c>
      <c r="P13" s="64" t="s">
        <v>42</v>
      </c>
      <c r="Q13" s="64" t="s">
        <v>44</v>
      </c>
      <c r="R13" s="64" t="s">
        <v>42</v>
      </c>
      <c r="S13" s="64" t="s">
        <v>42</v>
      </c>
      <c r="T13" s="64" t="s">
        <v>42</v>
      </c>
      <c r="U13" s="64" t="str">
        <f t="shared" si="3"/>
        <v>WO</v>
      </c>
      <c r="V13" s="64" t="s">
        <v>42</v>
      </c>
      <c r="W13" s="64" t="s">
        <v>42</v>
      </c>
      <c r="X13" s="64" t="s">
        <v>42</v>
      </c>
      <c r="Y13" s="64" t="s">
        <v>44</v>
      </c>
      <c r="Z13" s="64" t="s">
        <v>42</v>
      </c>
      <c r="AA13" s="64" t="s">
        <v>42</v>
      </c>
      <c r="AB13" s="64" t="str">
        <f t="shared" si="3"/>
        <v>WO</v>
      </c>
      <c r="AC13" s="64" t="s">
        <v>42</v>
      </c>
      <c r="AD13" s="64" t="s">
        <v>42</v>
      </c>
      <c r="AE13" s="64" t="s">
        <v>42</v>
      </c>
      <c r="AF13" s="64" t="s">
        <v>42</v>
      </c>
      <c r="AG13" s="64" t="s">
        <v>42</v>
      </c>
      <c r="AH13" s="64" t="s">
        <v>42</v>
      </c>
      <c r="AI13" s="64" t="str">
        <f t="shared" si="3"/>
        <v>WO</v>
      </c>
      <c r="AJ13" s="64" t="s">
        <v>42</v>
      </c>
      <c r="AK13" s="64" t="s">
        <v>42</v>
      </c>
      <c r="AL13" s="64" t="s">
        <v>42</v>
      </c>
      <c r="AM13" s="64" t="s">
        <v>42</v>
      </c>
      <c r="AN13" s="73" t="s">
        <v>42</v>
      </c>
      <c r="AO13" s="39"/>
      <c r="AP13" s="28">
        <v>7</v>
      </c>
      <c r="AQ13" s="21">
        <v>1007</v>
      </c>
      <c r="AR13" s="33" t="str">
        <f t="shared" si="4"/>
        <v>January</v>
      </c>
      <c r="AS13" s="21" t="s">
        <v>9</v>
      </c>
      <c r="AT13" s="29">
        <f t="shared" si="5"/>
        <v>25</v>
      </c>
      <c r="AU13" s="29">
        <f t="shared" si="6"/>
        <v>0</v>
      </c>
      <c r="AV13" s="29">
        <f t="shared" si="7"/>
        <v>2</v>
      </c>
      <c r="AW13" s="29">
        <f t="shared" si="8"/>
        <v>4</v>
      </c>
      <c r="AX13" s="30">
        <f t="shared" si="10"/>
        <v>31</v>
      </c>
      <c r="AY13" s="29">
        <f>JANReport[[#This Row],[Days]]-JANReport[[#This Row],[Adsent]]</f>
        <v>31</v>
      </c>
      <c r="AZ13" s="31">
        <v>62000</v>
      </c>
      <c r="BA13" s="32">
        <f>JANReport[[#This Row],[Salary]]/JANReport[[#This Row],[Days]]</f>
        <v>2000</v>
      </c>
      <c r="BB13" s="31">
        <f>JANReport[[#This Row],[Perday salary]]*JANReport[[#This Row],[Adsent]]</f>
        <v>0</v>
      </c>
      <c r="BC13" s="31">
        <f>JANReport[[#This Row],[Salary]]-JANReport[[#This Row],[Detuction ]]</f>
        <v>62000</v>
      </c>
      <c r="BD13" s="29"/>
      <c r="BE13" s="39"/>
      <c r="BF13" s="37"/>
      <c r="BG13" s="37"/>
      <c r="BH13" s="37"/>
      <c r="BI13" s="37"/>
      <c r="BJ13" s="37"/>
      <c r="BK13" s="37"/>
    </row>
    <row r="14" spans="4:68" ht="15.6" x14ac:dyDescent="0.3">
      <c r="D14" s="37"/>
      <c r="E14" s="41"/>
      <c r="F14" s="20">
        <v>8</v>
      </c>
      <c r="G14" s="21">
        <v>1008</v>
      </c>
      <c r="H14" s="22" t="s">
        <v>10</v>
      </c>
      <c r="I14" s="61">
        <f t="shared" si="9"/>
        <v>4</v>
      </c>
      <c r="J14" s="64" t="s">
        <v>42</v>
      </c>
      <c r="K14" s="64" t="s">
        <v>42</v>
      </c>
      <c r="L14" s="64" t="s">
        <v>42</v>
      </c>
      <c r="M14" s="64" t="s">
        <v>42</v>
      </c>
      <c r="N14" s="64" t="str">
        <f t="shared" si="3"/>
        <v>WO</v>
      </c>
      <c r="O14" s="64" t="s">
        <v>42</v>
      </c>
      <c r="P14" s="64" t="s">
        <v>42</v>
      </c>
      <c r="Q14" s="64" t="s">
        <v>44</v>
      </c>
      <c r="R14" s="64" t="s">
        <v>42</v>
      </c>
      <c r="S14" s="64" t="s">
        <v>42</v>
      </c>
      <c r="T14" s="64" t="s">
        <v>42</v>
      </c>
      <c r="U14" s="64" t="str">
        <f t="shared" si="3"/>
        <v>WO</v>
      </c>
      <c r="V14" s="64" t="s">
        <v>42</v>
      </c>
      <c r="W14" s="64" t="s">
        <v>42</v>
      </c>
      <c r="X14" s="64" t="s">
        <v>42</v>
      </c>
      <c r="Y14" s="64" t="s">
        <v>44</v>
      </c>
      <c r="Z14" s="64" t="s">
        <v>42</v>
      </c>
      <c r="AA14" s="64" t="s">
        <v>42</v>
      </c>
      <c r="AB14" s="64" t="str">
        <f t="shared" si="3"/>
        <v>WO</v>
      </c>
      <c r="AC14" s="64" t="s">
        <v>42</v>
      </c>
      <c r="AD14" s="64" t="s">
        <v>42</v>
      </c>
      <c r="AE14" s="64" t="s">
        <v>42</v>
      </c>
      <c r="AF14" s="64" t="s">
        <v>42</v>
      </c>
      <c r="AG14" s="64" t="s">
        <v>43</v>
      </c>
      <c r="AH14" s="64" t="s">
        <v>42</v>
      </c>
      <c r="AI14" s="64" t="str">
        <f t="shared" si="3"/>
        <v>WO</v>
      </c>
      <c r="AJ14" s="64" t="s">
        <v>42</v>
      </c>
      <c r="AK14" s="64" t="s">
        <v>42</v>
      </c>
      <c r="AL14" s="64" t="s">
        <v>42</v>
      </c>
      <c r="AM14" s="64" t="s">
        <v>42</v>
      </c>
      <c r="AN14" s="73" t="s">
        <v>42</v>
      </c>
      <c r="AO14" s="39"/>
      <c r="AP14" s="28">
        <v>8</v>
      </c>
      <c r="AQ14" s="21">
        <v>1008</v>
      </c>
      <c r="AR14" s="33" t="str">
        <f t="shared" si="4"/>
        <v>January</v>
      </c>
      <c r="AS14" s="21" t="s">
        <v>10</v>
      </c>
      <c r="AT14" s="29">
        <f t="shared" si="5"/>
        <v>24</v>
      </c>
      <c r="AU14" s="29">
        <f t="shared" si="6"/>
        <v>1</v>
      </c>
      <c r="AV14" s="29">
        <f t="shared" si="7"/>
        <v>2</v>
      </c>
      <c r="AW14" s="29">
        <f t="shared" si="8"/>
        <v>4</v>
      </c>
      <c r="AX14" s="30">
        <f t="shared" si="10"/>
        <v>31</v>
      </c>
      <c r="AY14" s="29">
        <f>JANReport[[#This Row],[Days]]-JANReport[[#This Row],[Adsent]]</f>
        <v>30</v>
      </c>
      <c r="AZ14" s="31">
        <v>50000</v>
      </c>
      <c r="BA14" s="32">
        <f>JANReport[[#This Row],[Salary]]/JANReport[[#This Row],[Days]]</f>
        <v>1612.9032258064517</v>
      </c>
      <c r="BB14" s="31">
        <f>JANReport[[#This Row],[Perday salary]]*JANReport[[#This Row],[Adsent]]</f>
        <v>1612.9032258064517</v>
      </c>
      <c r="BC14" s="31">
        <f>JANReport[[#This Row],[Salary]]-JANReport[[#This Row],[Detuction ]]</f>
        <v>48387.096774193546</v>
      </c>
      <c r="BD14" s="29"/>
      <c r="BE14" s="39"/>
      <c r="BF14" s="37"/>
      <c r="BG14" s="37"/>
      <c r="BH14" s="37"/>
      <c r="BI14" s="37"/>
      <c r="BJ14" s="37"/>
      <c r="BK14" s="37"/>
    </row>
    <row r="15" spans="4:68" ht="15.6" x14ac:dyDescent="0.3">
      <c r="D15" s="37"/>
      <c r="E15" s="41"/>
      <c r="F15" s="20">
        <v>9</v>
      </c>
      <c r="G15" s="21">
        <v>1009</v>
      </c>
      <c r="H15" s="22" t="s">
        <v>11</v>
      </c>
      <c r="I15" s="61">
        <f t="shared" si="9"/>
        <v>4</v>
      </c>
      <c r="J15" s="64" t="s">
        <v>42</v>
      </c>
      <c r="K15" s="64" t="s">
        <v>42</v>
      </c>
      <c r="L15" s="64" t="s">
        <v>42</v>
      </c>
      <c r="M15" s="64" t="s">
        <v>42</v>
      </c>
      <c r="N15" s="64" t="str">
        <f t="shared" si="3"/>
        <v>WO</v>
      </c>
      <c r="O15" s="64" t="s">
        <v>42</v>
      </c>
      <c r="P15" s="64" t="s">
        <v>42</v>
      </c>
      <c r="Q15" s="64" t="s">
        <v>44</v>
      </c>
      <c r="R15" s="64" t="s">
        <v>42</v>
      </c>
      <c r="S15" s="64" t="s">
        <v>42</v>
      </c>
      <c r="T15" s="64" t="s">
        <v>42</v>
      </c>
      <c r="U15" s="64" t="str">
        <f t="shared" si="3"/>
        <v>WO</v>
      </c>
      <c r="V15" s="64" t="s">
        <v>42</v>
      </c>
      <c r="W15" s="64" t="s">
        <v>43</v>
      </c>
      <c r="X15" s="64" t="s">
        <v>42</v>
      </c>
      <c r="Y15" s="64" t="s">
        <v>44</v>
      </c>
      <c r="Z15" s="64" t="s">
        <v>42</v>
      </c>
      <c r="AA15" s="64" t="s">
        <v>42</v>
      </c>
      <c r="AB15" s="64" t="str">
        <f t="shared" ref="AB15:AI26" si="11">IF(AB$5="Sun","WO","")</f>
        <v>WO</v>
      </c>
      <c r="AC15" s="64" t="s">
        <v>42</v>
      </c>
      <c r="AD15" s="64" t="s">
        <v>42</v>
      </c>
      <c r="AE15" s="64" t="s">
        <v>42</v>
      </c>
      <c r="AF15" s="64" t="s">
        <v>42</v>
      </c>
      <c r="AG15" s="64" t="s">
        <v>42</v>
      </c>
      <c r="AH15" s="64" t="s">
        <v>42</v>
      </c>
      <c r="AI15" s="64" t="str">
        <f t="shared" si="11"/>
        <v>WO</v>
      </c>
      <c r="AJ15" s="64" t="s">
        <v>42</v>
      </c>
      <c r="AK15" s="64" t="s">
        <v>42</v>
      </c>
      <c r="AL15" s="64" t="s">
        <v>42</v>
      </c>
      <c r="AM15" s="64" t="s">
        <v>42</v>
      </c>
      <c r="AN15" s="73" t="s">
        <v>42</v>
      </c>
      <c r="AO15" s="39"/>
      <c r="AP15" s="28">
        <v>9</v>
      </c>
      <c r="AQ15" s="21">
        <v>1009</v>
      </c>
      <c r="AR15" s="33" t="str">
        <f t="shared" si="4"/>
        <v>January</v>
      </c>
      <c r="AS15" s="21" t="s">
        <v>11</v>
      </c>
      <c r="AT15" s="29">
        <f t="shared" si="5"/>
        <v>24</v>
      </c>
      <c r="AU15" s="29">
        <f t="shared" si="6"/>
        <v>1</v>
      </c>
      <c r="AV15" s="29">
        <f t="shared" si="7"/>
        <v>2</v>
      </c>
      <c r="AW15" s="29">
        <f t="shared" si="8"/>
        <v>4</v>
      </c>
      <c r="AX15" s="30">
        <f t="shared" si="10"/>
        <v>31</v>
      </c>
      <c r="AY15" s="29">
        <f>JANReport[[#This Row],[Days]]-JANReport[[#This Row],[Adsent]]</f>
        <v>30</v>
      </c>
      <c r="AZ15" s="31">
        <v>25000</v>
      </c>
      <c r="BA15" s="32">
        <f>JANReport[[#This Row],[Salary]]/JANReport[[#This Row],[Days]]</f>
        <v>806.45161290322585</v>
      </c>
      <c r="BB15" s="31">
        <f>JANReport[[#This Row],[Perday salary]]*JANReport[[#This Row],[Adsent]]</f>
        <v>806.45161290322585</v>
      </c>
      <c r="BC15" s="31">
        <f>JANReport[[#This Row],[Salary]]-JANReport[[#This Row],[Detuction ]]</f>
        <v>24193.548387096773</v>
      </c>
      <c r="BD15" s="29"/>
      <c r="BE15" s="39"/>
      <c r="BF15" s="37"/>
      <c r="BG15" s="37"/>
      <c r="BH15" s="37"/>
      <c r="BI15" s="37"/>
      <c r="BJ15" s="37"/>
      <c r="BK15" s="37"/>
    </row>
    <row r="16" spans="4:68" ht="15.6" x14ac:dyDescent="0.3">
      <c r="D16" s="37"/>
      <c r="E16" s="41"/>
      <c r="F16" s="20">
        <v>10</v>
      </c>
      <c r="G16" s="21">
        <v>1010</v>
      </c>
      <c r="H16" s="22" t="s">
        <v>12</v>
      </c>
      <c r="I16" s="61">
        <f t="shared" si="9"/>
        <v>4</v>
      </c>
      <c r="J16" s="64" t="s">
        <v>42</v>
      </c>
      <c r="K16" s="64" t="s">
        <v>43</v>
      </c>
      <c r="L16" s="64" t="s">
        <v>42</v>
      </c>
      <c r="M16" s="64" t="s">
        <v>42</v>
      </c>
      <c r="N16" s="64" t="str">
        <f t="shared" ref="N16:U26" si="12">IF(N$5="Sun","WO","")</f>
        <v>WO</v>
      </c>
      <c r="O16" s="64" t="s">
        <v>42</v>
      </c>
      <c r="P16" s="64" t="s">
        <v>43</v>
      </c>
      <c r="Q16" s="64" t="s">
        <v>44</v>
      </c>
      <c r="R16" s="64" t="s">
        <v>42</v>
      </c>
      <c r="S16" s="64" t="s">
        <v>42</v>
      </c>
      <c r="T16" s="64" t="s">
        <v>42</v>
      </c>
      <c r="U16" s="64" t="str">
        <f t="shared" si="12"/>
        <v>WO</v>
      </c>
      <c r="V16" s="64" t="s">
        <v>42</v>
      </c>
      <c r="W16" s="64" t="s">
        <v>42</v>
      </c>
      <c r="X16" s="64" t="s">
        <v>42</v>
      </c>
      <c r="Y16" s="64" t="s">
        <v>44</v>
      </c>
      <c r="Z16" s="64" t="s">
        <v>42</v>
      </c>
      <c r="AA16" s="64" t="s">
        <v>42</v>
      </c>
      <c r="AB16" s="64" t="str">
        <f t="shared" si="11"/>
        <v>WO</v>
      </c>
      <c r="AC16" s="64" t="s">
        <v>42</v>
      </c>
      <c r="AD16" s="64" t="s">
        <v>42</v>
      </c>
      <c r="AE16" s="64" t="s">
        <v>42</v>
      </c>
      <c r="AF16" s="64" t="s">
        <v>42</v>
      </c>
      <c r="AG16" s="64" t="s">
        <v>42</v>
      </c>
      <c r="AH16" s="64" t="s">
        <v>42</v>
      </c>
      <c r="AI16" s="64" t="str">
        <f t="shared" si="11"/>
        <v>WO</v>
      </c>
      <c r="AJ16" s="64" t="s">
        <v>42</v>
      </c>
      <c r="AK16" s="64" t="s">
        <v>42</v>
      </c>
      <c r="AL16" s="64" t="s">
        <v>42</v>
      </c>
      <c r="AM16" s="64" t="s">
        <v>42</v>
      </c>
      <c r="AN16" s="73" t="s">
        <v>42</v>
      </c>
      <c r="AO16" s="39"/>
      <c r="AP16" s="28">
        <v>10</v>
      </c>
      <c r="AQ16" s="21">
        <v>1010</v>
      </c>
      <c r="AR16" s="33" t="str">
        <f t="shared" si="4"/>
        <v>January</v>
      </c>
      <c r="AS16" s="21" t="s">
        <v>12</v>
      </c>
      <c r="AT16" s="29">
        <f t="shared" si="5"/>
        <v>23</v>
      </c>
      <c r="AU16" s="29">
        <f t="shared" si="6"/>
        <v>2</v>
      </c>
      <c r="AV16" s="29">
        <f t="shared" si="7"/>
        <v>2</v>
      </c>
      <c r="AW16" s="29">
        <f t="shared" si="8"/>
        <v>4</v>
      </c>
      <c r="AX16" s="30">
        <f t="shared" si="10"/>
        <v>31</v>
      </c>
      <c r="AY16" s="29">
        <f>JANReport[[#This Row],[Days]]-JANReport[[#This Row],[Adsent]]</f>
        <v>29</v>
      </c>
      <c r="AZ16" s="31">
        <v>45000</v>
      </c>
      <c r="BA16" s="32">
        <f>JANReport[[#This Row],[Salary]]/JANReport[[#This Row],[Days]]</f>
        <v>1451.6129032258063</v>
      </c>
      <c r="BB16" s="31">
        <f>JANReport[[#This Row],[Perday salary]]*JANReport[[#This Row],[Adsent]]</f>
        <v>2903.2258064516127</v>
      </c>
      <c r="BC16" s="31">
        <f>JANReport[[#This Row],[Salary]]-JANReport[[#This Row],[Detuction ]]</f>
        <v>42096.774193548386</v>
      </c>
      <c r="BD16" s="29"/>
      <c r="BE16" s="39"/>
      <c r="BF16" s="37"/>
      <c r="BG16" s="37"/>
      <c r="BH16" s="37"/>
      <c r="BI16" s="37"/>
      <c r="BJ16" s="37"/>
      <c r="BK16" s="37"/>
    </row>
    <row r="17" spans="1:63" ht="15.6" x14ac:dyDescent="0.3">
      <c r="D17" s="37"/>
      <c r="E17" s="41"/>
      <c r="F17" s="20">
        <v>11</v>
      </c>
      <c r="G17" s="21">
        <v>1011</v>
      </c>
      <c r="H17" s="22" t="s">
        <v>13</v>
      </c>
      <c r="I17" s="61">
        <f t="shared" si="9"/>
        <v>4</v>
      </c>
      <c r="J17" s="64" t="s">
        <v>42</v>
      </c>
      <c r="K17" s="64" t="s">
        <v>42</v>
      </c>
      <c r="L17" s="64" t="s">
        <v>42</v>
      </c>
      <c r="M17" s="64" t="s">
        <v>42</v>
      </c>
      <c r="N17" s="64" t="str">
        <f t="shared" si="12"/>
        <v>WO</v>
      </c>
      <c r="O17" s="64" t="s">
        <v>42</v>
      </c>
      <c r="P17" s="64" t="s">
        <v>42</v>
      </c>
      <c r="Q17" s="64" t="s">
        <v>44</v>
      </c>
      <c r="R17" s="64" t="s">
        <v>42</v>
      </c>
      <c r="S17" s="64" t="s">
        <v>42</v>
      </c>
      <c r="T17" s="64" t="s">
        <v>42</v>
      </c>
      <c r="U17" s="64" t="str">
        <f t="shared" si="12"/>
        <v>WO</v>
      </c>
      <c r="V17" s="64" t="s">
        <v>42</v>
      </c>
      <c r="W17" s="64" t="s">
        <v>42</v>
      </c>
      <c r="X17" s="64" t="s">
        <v>42</v>
      </c>
      <c r="Y17" s="64" t="s">
        <v>44</v>
      </c>
      <c r="Z17" s="64" t="s">
        <v>42</v>
      </c>
      <c r="AA17" s="64" t="s">
        <v>42</v>
      </c>
      <c r="AB17" s="64" t="str">
        <f t="shared" si="11"/>
        <v>WO</v>
      </c>
      <c r="AC17" s="64" t="s">
        <v>42</v>
      </c>
      <c r="AD17" s="64" t="s">
        <v>42</v>
      </c>
      <c r="AE17" s="64" t="s">
        <v>42</v>
      </c>
      <c r="AF17" s="64" t="s">
        <v>42</v>
      </c>
      <c r="AG17" s="64" t="s">
        <v>42</v>
      </c>
      <c r="AH17" s="64" t="s">
        <v>42</v>
      </c>
      <c r="AI17" s="64" t="str">
        <f t="shared" si="11"/>
        <v>WO</v>
      </c>
      <c r="AJ17" s="64" t="s">
        <v>42</v>
      </c>
      <c r="AK17" s="64" t="s">
        <v>42</v>
      </c>
      <c r="AL17" s="64" t="s">
        <v>42</v>
      </c>
      <c r="AM17" s="64" t="s">
        <v>42</v>
      </c>
      <c r="AN17" s="73" t="s">
        <v>42</v>
      </c>
      <c r="AO17" s="39"/>
      <c r="AP17" s="28">
        <v>11</v>
      </c>
      <c r="AQ17" s="21">
        <v>1011</v>
      </c>
      <c r="AR17" s="33" t="str">
        <f t="shared" si="4"/>
        <v>January</v>
      </c>
      <c r="AS17" s="21" t="s">
        <v>13</v>
      </c>
      <c r="AT17" s="29">
        <f t="shared" si="5"/>
        <v>25</v>
      </c>
      <c r="AU17" s="29">
        <f t="shared" si="6"/>
        <v>0</v>
      </c>
      <c r="AV17" s="29">
        <f t="shared" si="7"/>
        <v>2</v>
      </c>
      <c r="AW17" s="29">
        <f t="shared" si="8"/>
        <v>4</v>
      </c>
      <c r="AX17" s="30">
        <f t="shared" si="10"/>
        <v>31</v>
      </c>
      <c r="AY17" s="29">
        <f>JANReport[[#This Row],[Days]]-JANReport[[#This Row],[Adsent]]</f>
        <v>31</v>
      </c>
      <c r="AZ17" s="31">
        <v>48000</v>
      </c>
      <c r="BA17" s="32">
        <f>JANReport[[#This Row],[Salary]]/JANReport[[#This Row],[Days]]</f>
        <v>1548.3870967741937</v>
      </c>
      <c r="BB17" s="31">
        <f>JANReport[[#This Row],[Perday salary]]*JANReport[[#This Row],[Adsent]]</f>
        <v>0</v>
      </c>
      <c r="BC17" s="31">
        <f>JANReport[[#This Row],[Salary]]-JANReport[[#This Row],[Detuction ]]</f>
        <v>48000</v>
      </c>
      <c r="BD17" s="29"/>
      <c r="BE17" s="39"/>
      <c r="BF17" s="37"/>
      <c r="BG17" s="37"/>
      <c r="BH17" s="37"/>
      <c r="BI17" s="37"/>
      <c r="BJ17" s="37"/>
      <c r="BK17" s="37"/>
    </row>
    <row r="18" spans="1:63" ht="15.6" x14ac:dyDescent="0.3">
      <c r="D18" s="37"/>
      <c r="E18" s="41"/>
      <c r="F18" s="20">
        <v>12</v>
      </c>
      <c r="G18" s="21">
        <v>1012</v>
      </c>
      <c r="H18" s="22" t="s">
        <v>14</v>
      </c>
      <c r="I18" s="61">
        <f t="shared" si="9"/>
        <v>4</v>
      </c>
      <c r="J18" s="64" t="s">
        <v>42</v>
      </c>
      <c r="K18" s="64" t="s">
        <v>42</v>
      </c>
      <c r="L18" s="64" t="s">
        <v>42</v>
      </c>
      <c r="M18" s="64" t="s">
        <v>42</v>
      </c>
      <c r="N18" s="64" t="str">
        <f t="shared" si="12"/>
        <v>WO</v>
      </c>
      <c r="O18" s="64" t="s">
        <v>42</v>
      </c>
      <c r="P18" s="64" t="s">
        <v>42</v>
      </c>
      <c r="Q18" s="64" t="s">
        <v>44</v>
      </c>
      <c r="R18" s="64" t="s">
        <v>42</v>
      </c>
      <c r="S18" s="64" t="s">
        <v>42</v>
      </c>
      <c r="T18" s="64" t="s">
        <v>42</v>
      </c>
      <c r="U18" s="64" t="str">
        <f t="shared" si="12"/>
        <v>WO</v>
      </c>
      <c r="V18" s="64" t="s">
        <v>42</v>
      </c>
      <c r="W18" s="64" t="s">
        <v>42</v>
      </c>
      <c r="X18" s="64" t="s">
        <v>42</v>
      </c>
      <c r="Y18" s="64" t="s">
        <v>44</v>
      </c>
      <c r="Z18" s="64" t="s">
        <v>42</v>
      </c>
      <c r="AA18" s="64" t="s">
        <v>42</v>
      </c>
      <c r="AB18" s="64" t="str">
        <f t="shared" si="11"/>
        <v>WO</v>
      </c>
      <c r="AC18" s="64" t="s">
        <v>42</v>
      </c>
      <c r="AD18" s="64" t="s">
        <v>42</v>
      </c>
      <c r="AE18" s="64" t="s">
        <v>42</v>
      </c>
      <c r="AF18" s="64" t="s">
        <v>42</v>
      </c>
      <c r="AG18" s="64" t="s">
        <v>42</v>
      </c>
      <c r="AH18" s="64" t="s">
        <v>42</v>
      </c>
      <c r="AI18" s="64" t="str">
        <f t="shared" si="11"/>
        <v>WO</v>
      </c>
      <c r="AJ18" s="64" t="s">
        <v>42</v>
      </c>
      <c r="AK18" s="64" t="s">
        <v>42</v>
      </c>
      <c r="AL18" s="64" t="s">
        <v>42</v>
      </c>
      <c r="AM18" s="64" t="s">
        <v>42</v>
      </c>
      <c r="AN18" s="73" t="s">
        <v>42</v>
      </c>
      <c r="AO18" s="39"/>
      <c r="AP18" s="28">
        <v>12</v>
      </c>
      <c r="AQ18" s="21">
        <v>1012</v>
      </c>
      <c r="AR18" s="33" t="str">
        <f t="shared" si="4"/>
        <v>January</v>
      </c>
      <c r="AS18" s="21" t="s">
        <v>14</v>
      </c>
      <c r="AT18" s="29">
        <f t="shared" si="5"/>
        <v>25</v>
      </c>
      <c r="AU18" s="29">
        <f t="shared" si="6"/>
        <v>0</v>
      </c>
      <c r="AV18" s="29">
        <f t="shared" si="7"/>
        <v>2</v>
      </c>
      <c r="AW18" s="29">
        <f t="shared" si="8"/>
        <v>4</v>
      </c>
      <c r="AX18" s="30">
        <f t="shared" si="10"/>
        <v>31</v>
      </c>
      <c r="AY18" s="29">
        <f>JANReport[[#This Row],[Days]]-JANReport[[#This Row],[Adsent]]</f>
        <v>31</v>
      </c>
      <c r="AZ18" s="31">
        <v>52000</v>
      </c>
      <c r="BA18" s="32">
        <f>JANReport[[#This Row],[Salary]]/JANReport[[#This Row],[Days]]</f>
        <v>1677.4193548387098</v>
      </c>
      <c r="BB18" s="31">
        <f>JANReport[[#This Row],[Perday salary]]*JANReport[[#This Row],[Adsent]]</f>
        <v>0</v>
      </c>
      <c r="BC18" s="31">
        <f>JANReport[[#This Row],[Salary]]-JANReport[[#This Row],[Detuction ]]</f>
        <v>52000</v>
      </c>
      <c r="BD18" s="29"/>
      <c r="BE18" s="39"/>
      <c r="BF18" s="37"/>
      <c r="BG18" s="37"/>
      <c r="BH18" s="37"/>
      <c r="BI18" s="37"/>
      <c r="BJ18" s="37"/>
      <c r="BK18" s="37"/>
    </row>
    <row r="19" spans="1:63" ht="15.6" x14ac:dyDescent="0.3">
      <c r="D19" s="37"/>
      <c r="E19" s="41"/>
      <c r="F19" s="20">
        <v>13</v>
      </c>
      <c r="G19" s="21">
        <v>1013</v>
      </c>
      <c r="H19" s="22" t="s">
        <v>15</v>
      </c>
      <c r="I19" s="61">
        <f t="shared" si="9"/>
        <v>4</v>
      </c>
      <c r="J19" s="64" t="s">
        <v>42</v>
      </c>
      <c r="K19" s="64" t="s">
        <v>42</v>
      </c>
      <c r="L19" s="64" t="s">
        <v>42</v>
      </c>
      <c r="M19" s="64" t="s">
        <v>42</v>
      </c>
      <c r="N19" s="64" t="str">
        <f t="shared" si="12"/>
        <v>WO</v>
      </c>
      <c r="O19" s="64" t="s">
        <v>42</v>
      </c>
      <c r="P19" s="64" t="s">
        <v>42</v>
      </c>
      <c r="Q19" s="64" t="s">
        <v>44</v>
      </c>
      <c r="R19" s="64" t="s">
        <v>42</v>
      </c>
      <c r="S19" s="64" t="s">
        <v>42</v>
      </c>
      <c r="T19" s="64" t="s">
        <v>42</v>
      </c>
      <c r="U19" s="64" t="str">
        <f t="shared" si="12"/>
        <v>WO</v>
      </c>
      <c r="V19" s="64" t="s">
        <v>42</v>
      </c>
      <c r="W19" s="64" t="s">
        <v>42</v>
      </c>
      <c r="X19" s="64" t="s">
        <v>42</v>
      </c>
      <c r="Y19" s="64" t="s">
        <v>44</v>
      </c>
      <c r="Z19" s="64" t="s">
        <v>42</v>
      </c>
      <c r="AA19" s="64" t="s">
        <v>42</v>
      </c>
      <c r="AB19" s="64" t="str">
        <f t="shared" si="11"/>
        <v>WO</v>
      </c>
      <c r="AC19" s="64" t="s">
        <v>42</v>
      </c>
      <c r="AD19" s="64" t="s">
        <v>42</v>
      </c>
      <c r="AE19" s="64" t="s">
        <v>42</v>
      </c>
      <c r="AF19" s="64" t="s">
        <v>42</v>
      </c>
      <c r="AG19" s="64" t="s">
        <v>42</v>
      </c>
      <c r="AH19" s="64" t="s">
        <v>42</v>
      </c>
      <c r="AI19" s="64" t="str">
        <f t="shared" si="11"/>
        <v>WO</v>
      </c>
      <c r="AJ19" s="64" t="s">
        <v>42</v>
      </c>
      <c r="AK19" s="64" t="s">
        <v>42</v>
      </c>
      <c r="AL19" s="64" t="s">
        <v>42</v>
      </c>
      <c r="AM19" s="64" t="s">
        <v>42</v>
      </c>
      <c r="AN19" s="73" t="s">
        <v>42</v>
      </c>
      <c r="AO19" s="39"/>
      <c r="AP19" s="28">
        <v>13</v>
      </c>
      <c r="AQ19" s="21">
        <v>1013</v>
      </c>
      <c r="AR19" s="33" t="str">
        <f t="shared" si="4"/>
        <v>January</v>
      </c>
      <c r="AS19" s="21" t="s">
        <v>15</v>
      </c>
      <c r="AT19" s="29">
        <f t="shared" si="5"/>
        <v>25</v>
      </c>
      <c r="AU19" s="29">
        <f t="shared" si="6"/>
        <v>0</v>
      </c>
      <c r="AV19" s="29">
        <f t="shared" si="7"/>
        <v>2</v>
      </c>
      <c r="AW19" s="29">
        <f t="shared" si="8"/>
        <v>4</v>
      </c>
      <c r="AX19" s="30">
        <f t="shared" si="10"/>
        <v>31</v>
      </c>
      <c r="AY19" s="29">
        <f>JANReport[[#This Row],[Days]]-JANReport[[#This Row],[Adsent]]</f>
        <v>31</v>
      </c>
      <c r="AZ19" s="31">
        <v>42000</v>
      </c>
      <c r="BA19" s="32">
        <f>JANReport[[#This Row],[Salary]]/JANReport[[#This Row],[Days]]</f>
        <v>1354.8387096774193</v>
      </c>
      <c r="BB19" s="31">
        <f>JANReport[[#This Row],[Perday salary]]*JANReport[[#This Row],[Adsent]]</f>
        <v>0</v>
      </c>
      <c r="BC19" s="31">
        <f>JANReport[[#This Row],[Salary]]-JANReport[[#This Row],[Detuction ]]</f>
        <v>42000</v>
      </c>
      <c r="BD19" s="29"/>
      <c r="BE19" s="39"/>
      <c r="BF19" s="37"/>
      <c r="BG19" s="37"/>
      <c r="BH19" s="37"/>
      <c r="BI19" s="37"/>
      <c r="BJ19" s="37"/>
      <c r="BK19" s="37"/>
    </row>
    <row r="20" spans="1:63" ht="15.6" x14ac:dyDescent="0.3">
      <c r="D20" s="37"/>
      <c r="E20" s="41"/>
      <c r="F20" s="20">
        <v>14</v>
      </c>
      <c r="G20" s="21">
        <v>1014</v>
      </c>
      <c r="H20" s="22" t="s">
        <v>16</v>
      </c>
      <c r="I20" s="61">
        <f t="shared" si="9"/>
        <v>4</v>
      </c>
      <c r="J20" s="64" t="s">
        <v>42</v>
      </c>
      <c r="K20" s="64" t="s">
        <v>42</v>
      </c>
      <c r="L20" s="64" t="s">
        <v>42</v>
      </c>
      <c r="M20" s="64" t="s">
        <v>42</v>
      </c>
      <c r="N20" s="64" t="str">
        <f t="shared" si="12"/>
        <v>WO</v>
      </c>
      <c r="O20" s="64" t="s">
        <v>42</v>
      </c>
      <c r="P20" s="64" t="s">
        <v>42</v>
      </c>
      <c r="Q20" s="64" t="s">
        <v>44</v>
      </c>
      <c r="R20" s="64" t="s">
        <v>42</v>
      </c>
      <c r="S20" s="64" t="s">
        <v>42</v>
      </c>
      <c r="T20" s="64" t="s">
        <v>42</v>
      </c>
      <c r="U20" s="64" t="str">
        <f t="shared" si="12"/>
        <v>WO</v>
      </c>
      <c r="V20" s="64" t="s">
        <v>42</v>
      </c>
      <c r="W20" s="64" t="s">
        <v>42</v>
      </c>
      <c r="X20" s="64" t="s">
        <v>42</v>
      </c>
      <c r="Y20" s="64" t="s">
        <v>44</v>
      </c>
      <c r="Z20" s="64" t="s">
        <v>42</v>
      </c>
      <c r="AA20" s="64" t="s">
        <v>42</v>
      </c>
      <c r="AB20" s="64" t="str">
        <f t="shared" si="11"/>
        <v>WO</v>
      </c>
      <c r="AC20" s="64" t="s">
        <v>42</v>
      </c>
      <c r="AD20" s="64" t="s">
        <v>42</v>
      </c>
      <c r="AE20" s="64" t="s">
        <v>42</v>
      </c>
      <c r="AF20" s="64" t="s">
        <v>42</v>
      </c>
      <c r="AG20" s="64" t="s">
        <v>42</v>
      </c>
      <c r="AH20" s="64" t="s">
        <v>42</v>
      </c>
      <c r="AI20" s="64" t="str">
        <f t="shared" si="11"/>
        <v>WO</v>
      </c>
      <c r="AJ20" s="64" t="s">
        <v>42</v>
      </c>
      <c r="AK20" s="64" t="s">
        <v>42</v>
      </c>
      <c r="AL20" s="64" t="s">
        <v>42</v>
      </c>
      <c r="AM20" s="64" t="s">
        <v>42</v>
      </c>
      <c r="AN20" s="73" t="s">
        <v>42</v>
      </c>
      <c r="AO20" s="39"/>
      <c r="AP20" s="28">
        <v>14</v>
      </c>
      <c r="AQ20" s="21">
        <v>1014</v>
      </c>
      <c r="AR20" s="33" t="str">
        <f t="shared" si="4"/>
        <v>January</v>
      </c>
      <c r="AS20" s="21" t="s">
        <v>16</v>
      </c>
      <c r="AT20" s="29">
        <f t="shared" si="5"/>
        <v>25</v>
      </c>
      <c r="AU20" s="29">
        <f t="shared" si="6"/>
        <v>0</v>
      </c>
      <c r="AV20" s="29">
        <f t="shared" si="7"/>
        <v>2</v>
      </c>
      <c r="AW20" s="29">
        <f t="shared" si="8"/>
        <v>4</v>
      </c>
      <c r="AX20" s="30">
        <f t="shared" si="10"/>
        <v>31</v>
      </c>
      <c r="AY20" s="29">
        <f>JANReport[[#This Row],[Days]]-JANReport[[#This Row],[Adsent]]</f>
        <v>31</v>
      </c>
      <c r="AZ20" s="31">
        <v>15000</v>
      </c>
      <c r="BA20" s="32">
        <f>JANReport[[#This Row],[Salary]]/JANReport[[#This Row],[Days]]</f>
        <v>483.87096774193549</v>
      </c>
      <c r="BB20" s="31">
        <f>JANReport[[#This Row],[Perday salary]]*JANReport[[#This Row],[Adsent]]</f>
        <v>0</v>
      </c>
      <c r="BC20" s="31">
        <f>JANReport[[#This Row],[Salary]]-JANReport[[#This Row],[Detuction ]]</f>
        <v>15000</v>
      </c>
      <c r="BD20" s="29"/>
      <c r="BE20" s="39"/>
      <c r="BF20" s="37"/>
      <c r="BG20" s="37"/>
      <c r="BH20" s="37"/>
      <c r="BI20" s="37"/>
      <c r="BJ20" s="37"/>
      <c r="BK20" s="37"/>
    </row>
    <row r="21" spans="1:63" ht="15.6" x14ac:dyDescent="0.3">
      <c r="D21" s="37"/>
      <c r="E21" s="41"/>
      <c r="F21" s="20">
        <v>15</v>
      </c>
      <c r="G21" s="21">
        <v>1015</v>
      </c>
      <c r="H21" s="22" t="s">
        <v>17</v>
      </c>
      <c r="I21" s="61">
        <f t="shared" si="9"/>
        <v>4</v>
      </c>
      <c r="J21" s="64" t="s">
        <v>42</v>
      </c>
      <c r="K21" s="64" t="s">
        <v>43</v>
      </c>
      <c r="L21" s="64" t="s">
        <v>42</v>
      </c>
      <c r="M21" s="64" t="s">
        <v>42</v>
      </c>
      <c r="N21" s="64" t="str">
        <f t="shared" si="12"/>
        <v>WO</v>
      </c>
      <c r="O21" s="64" t="s">
        <v>42</v>
      </c>
      <c r="P21" s="64" t="s">
        <v>42</v>
      </c>
      <c r="Q21" s="64" t="s">
        <v>44</v>
      </c>
      <c r="R21" s="64" t="s">
        <v>42</v>
      </c>
      <c r="S21" s="64" t="s">
        <v>42</v>
      </c>
      <c r="T21" s="64" t="s">
        <v>42</v>
      </c>
      <c r="U21" s="64" t="str">
        <f t="shared" si="12"/>
        <v>WO</v>
      </c>
      <c r="V21" s="64" t="s">
        <v>42</v>
      </c>
      <c r="W21" s="64" t="s">
        <v>42</v>
      </c>
      <c r="X21" s="64" t="s">
        <v>42</v>
      </c>
      <c r="Y21" s="64" t="s">
        <v>44</v>
      </c>
      <c r="Z21" s="64" t="s">
        <v>42</v>
      </c>
      <c r="AA21" s="64" t="s">
        <v>42</v>
      </c>
      <c r="AB21" s="64" t="str">
        <f t="shared" si="11"/>
        <v>WO</v>
      </c>
      <c r="AC21" s="64" t="s">
        <v>42</v>
      </c>
      <c r="AD21" s="64" t="s">
        <v>42</v>
      </c>
      <c r="AE21" s="64" t="s">
        <v>42</v>
      </c>
      <c r="AF21" s="64" t="s">
        <v>42</v>
      </c>
      <c r="AG21" s="64" t="s">
        <v>42</v>
      </c>
      <c r="AH21" s="64" t="s">
        <v>42</v>
      </c>
      <c r="AI21" s="64" t="str">
        <f t="shared" si="11"/>
        <v>WO</v>
      </c>
      <c r="AJ21" s="64" t="s">
        <v>42</v>
      </c>
      <c r="AK21" s="64" t="s">
        <v>42</v>
      </c>
      <c r="AL21" s="64" t="s">
        <v>43</v>
      </c>
      <c r="AM21" s="64" t="s">
        <v>42</v>
      </c>
      <c r="AN21" s="73" t="s">
        <v>42</v>
      </c>
      <c r="AO21" s="39"/>
      <c r="AP21" s="28">
        <v>15</v>
      </c>
      <c r="AQ21" s="21">
        <v>1015</v>
      </c>
      <c r="AR21" s="33" t="str">
        <f t="shared" si="4"/>
        <v>January</v>
      </c>
      <c r="AS21" s="21" t="s">
        <v>17</v>
      </c>
      <c r="AT21" s="29">
        <f t="shared" si="5"/>
        <v>23</v>
      </c>
      <c r="AU21" s="29">
        <f t="shared" si="6"/>
        <v>2</v>
      </c>
      <c r="AV21" s="29">
        <f t="shared" si="7"/>
        <v>2</v>
      </c>
      <c r="AW21" s="29">
        <f t="shared" si="8"/>
        <v>4</v>
      </c>
      <c r="AX21" s="30">
        <f t="shared" si="10"/>
        <v>31</v>
      </c>
      <c r="AY21" s="29">
        <f>JANReport[[#This Row],[Days]]-JANReport[[#This Row],[Adsent]]</f>
        <v>29</v>
      </c>
      <c r="AZ21" s="31">
        <v>46000</v>
      </c>
      <c r="BA21" s="32">
        <f>JANReport[[#This Row],[Salary]]/JANReport[[#This Row],[Days]]</f>
        <v>1483.8709677419354</v>
      </c>
      <c r="BB21" s="31">
        <f>JANReport[[#This Row],[Perday salary]]*JANReport[[#This Row],[Adsent]]</f>
        <v>2967.7419354838707</v>
      </c>
      <c r="BC21" s="31">
        <f>JANReport[[#This Row],[Salary]]-JANReport[[#This Row],[Detuction ]]</f>
        <v>43032.258064516129</v>
      </c>
      <c r="BD21" s="29"/>
      <c r="BE21" s="39"/>
      <c r="BF21" s="37"/>
      <c r="BG21" s="37"/>
      <c r="BH21" s="37"/>
      <c r="BI21" s="37"/>
      <c r="BJ21" s="37"/>
      <c r="BK21" s="37"/>
    </row>
    <row r="22" spans="1:63" ht="15.6" x14ac:dyDescent="0.3">
      <c r="D22" s="37"/>
      <c r="E22" s="41"/>
      <c r="F22" s="20">
        <v>16</v>
      </c>
      <c r="G22" s="21">
        <v>1016</v>
      </c>
      <c r="H22" s="22" t="s">
        <v>18</v>
      </c>
      <c r="I22" s="61">
        <f t="shared" si="9"/>
        <v>4</v>
      </c>
      <c r="J22" s="64" t="s">
        <v>42</v>
      </c>
      <c r="K22" s="64" t="s">
        <v>42</v>
      </c>
      <c r="L22" s="64" t="s">
        <v>42</v>
      </c>
      <c r="M22" s="64" t="s">
        <v>42</v>
      </c>
      <c r="N22" s="64" t="str">
        <f t="shared" si="12"/>
        <v>WO</v>
      </c>
      <c r="O22" s="64" t="s">
        <v>42</v>
      </c>
      <c r="P22" s="64" t="s">
        <v>42</v>
      </c>
      <c r="Q22" s="64" t="s">
        <v>44</v>
      </c>
      <c r="R22" s="64" t="s">
        <v>42</v>
      </c>
      <c r="S22" s="64" t="s">
        <v>42</v>
      </c>
      <c r="T22" s="64" t="s">
        <v>42</v>
      </c>
      <c r="U22" s="64" t="str">
        <f t="shared" si="12"/>
        <v>WO</v>
      </c>
      <c r="V22" s="64" t="s">
        <v>42</v>
      </c>
      <c r="W22" s="64" t="s">
        <v>42</v>
      </c>
      <c r="X22" s="64" t="s">
        <v>42</v>
      </c>
      <c r="Y22" s="64" t="s">
        <v>44</v>
      </c>
      <c r="Z22" s="64" t="s">
        <v>42</v>
      </c>
      <c r="AA22" s="64" t="s">
        <v>42</v>
      </c>
      <c r="AB22" s="64" t="str">
        <f t="shared" si="11"/>
        <v>WO</v>
      </c>
      <c r="AC22" s="64" t="s">
        <v>42</v>
      </c>
      <c r="AD22" s="64" t="s">
        <v>42</v>
      </c>
      <c r="AE22" s="64" t="s">
        <v>42</v>
      </c>
      <c r="AF22" s="64" t="s">
        <v>42</v>
      </c>
      <c r="AG22" s="64" t="s">
        <v>42</v>
      </c>
      <c r="AH22" s="64" t="s">
        <v>42</v>
      </c>
      <c r="AI22" s="64" t="str">
        <f t="shared" si="11"/>
        <v>WO</v>
      </c>
      <c r="AJ22" s="64" t="s">
        <v>42</v>
      </c>
      <c r="AK22" s="64" t="s">
        <v>42</v>
      </c>
      <c r="AL22" s="64" t="s">
        <v>42</v>
      </c>
      <c r="AM22" s="64" t="s">
        <v>42</v>
      </c>
      <c r="AN22" s="73" t="s">
        <v>42</v>
      </c>
      <c r="AO22" s="39"/>
      <c r="AP22" s="28">
        <v>16</v>
      </c>
      <c r="AQ22" s="21">
        <v>1016</v>
      </c>
      <c r="AR22" s="33" t="str">
        <f t="shared" si="4"/>
        <v>January</v>
      </c>
      <c r="AS22" s="21" t="s">
        <v>18</v>
      </c>
      <c r="AT22" s="29">
        <f t="shared" si="5"/>
        <v>25</v>
      </c>
      <c r="AU22" s="29">
        <f t="shared" si="6"/>
        <v>0</v>
      </c>
      <c r="AV22" s="29">
        <f t="shared" si="7"/>
        <v>2</v>
      </c>
      <c r="AW22" s="29">
        <f t="shared" si="8"/>
        <v>4</v>
      </c>
      <c r="AX22" s="30">
        <f t="shared" si="10"/>
        <v>31</v>
      </c>
      <c r="AY22" s="29">
        <f>JANReport[[#This Row],[Days]]-JANReport[[#This Row],[Adsent]]</f>
        <v>31</v>
      </c>
      <c r="AZ22" s="31">
        <v>52000</v>
      </c>
      <c r="BA22" s="32">
        <f>JANReport[[#This Row],[Salary]]/JANReport[[#This Row],[Days]]</f>
        <v>1677.4193548387098</v>
      </c>
      <c r="BB22" s="31">
        <f>JANReport[[#This Row],[Perday salary]]*JANReport[[#This Row],[Adsent]]</f>
        <v>0</v>
      </c>
      <c r="BC22" s="31">
        <f>JANReport[[#This Row],[Salary]]-JANReport[[#This Row],[Detuction ]]</f>
        <v>52000</v>
      </c>
      <c r="BD22" s="29"/>
      <c r="BE22" s="39"/>
      <c r="BF22" s="37"/>
      <c r="BG22" s="37"/>
      <c r="BH22" s="37"/>
      <c r="BI22" s="37"/>
      <c r="BJ22" s="37"/>
      <c r="BK22" s="37"/>
    </row>
    <row r="23" spans="1:63" ht="15.6" x14ac:dyDescent="0.3">
      <c r="D23" s="37"/>
      <c r="E23" s="41"/>
      <c r="F23" s="20">
        <v>17</v>
      </c>
      <c r="G23" s="21">
        <v>1017</v>
      </c>
      <c r="H23" s="22" t="s">
        <v>19</v>
      </c>
      <c r="I23" s="61">
        <f t="shared" si="9"/>
        <v>4</v>
      </c>
      <c r="J23" s="64" t="s">
        <v>42</v>
      </c>
      <c r="K23" s="64" t="s">
        <v>42</v>
      </c>
      <c r="L23" s="64" t="s">
        <v>42</v>
      </c>
      <c r="M23" s="64" t="s">
        <v>42</v>
      </c>
      <c r="N23" s="64" t="str">
        <f t="shared" si="12"/>
        <v>WO</v>
      </c>
      <c r="O23" s="64" t="s">
        <v>42</v>
      </c>
      <c r="P23" s="64" t="s">
        <v>42</v>
      </c>
      <c r="Q23" s="64" t="s">
        <v>44</v>
      </c>
      <c r="R23" s="64" t="s">
        <v>42</v>
      </c>
      <c r="S23" s="64" t="s">
        <v>42</v>
      </c>
      <c r="T23" s="64" t="s">
        <v>42</v>
      </c>
      <c r="U23" s="64" t="str">
        <f t="shared" si="12"/>
        <v>WO</v>
      </c>
      <c r="V23" s="64" t="s">
        <v>42</v>
      </c>
      <c r="W23" s="64" t="s">
        <v>42</v>
      </c>
      <c r="X23" s="64" t="s">
        <v>42</v>
      </c>
      <c r="Y23" s="64" t="s">
        <v>44</v>
      </c>
      <c r="Z23" s="64" t="s">
        <v>42</v>
      </c>
      <c r="AA23" s="64" t="s">
        <v>42</v>
      </c>
      <c r="AB23" s="64" t="str">
        <f t="shared" si="11"/>
        <v>WO</v>
      </c>
      <c r="AC23" s="64" t="s">
        <v>42</v>
      </c>
      <c r="AD23" s="64" t="s">
        <v>42</v>
      </c>
      <c r="AE23" s="64" t="s">
        <v>42</v>
      </c>
      <c r="AF23" s="64" t="s">
        <v>42</v>
      </c>
      <c r="AG23" s="64" t="s">
        <v>42</v>
      </c>
      <c r="AH23" s="64" t="s">
        <v>42</v>
      </c>
      <c r="AI23" s="64" t="str">
        <f t="shared" si="11"/>
        <v>WO</v>
      </c>
      <c r="AJ23" s="64" t="s">
        <v>42</v>
      </c>
      <c r="AK23" s="64" t="s">
        <v>42</v>
      </c>
      <c r="AL23" s="64" t="s">
        <v>42</v>
      </c>
      <c r="AM23" s="64" t="s">
        <v>42</v>
      </c>
      <c r="AN23" s="73" t="s">
        <v>42</v>
      </c>
      <c r="AO23" s="39"/>
      <c r="AP23" s="28">
        <v>17</v>
      </c>
      <c r="AQ23" s="21">
        <v>1017</v>
      </c>
      <c r="AR23" s="33" t="str">
        <f t="shared" si="4"/>
        <v>January</v>
      </c>
      <c r="AS23" s="21" t="s">
        <v>19</v>
      </c>
      <c r="AT23" s="29">
        <f t="shared" si="5"/>
        <v>25</v>
      </c>
      <c r="AU23" s="29">
        <f t="shared" si="6"/>
        <v>0</v>
      </c>
      <c r="AV23" s="29">
        <f t="shared" si="7"/>
        <v>2</v>
      </c>
      <c r="AW23" s="29">
        <f t="shared" si="8"/>
        <v>4</v>
      </c>
      <c r="AX23" s="30">
        <f t="shared" si="10"/>
        <v>31</v>
      </c>
      <c r="AY23" s="29">
        <f>JANReport[[#This Row],[Days]]-JANReport[[#This Row],[Adsent]]</f>
        <v>31</v>
      </c>
      <c r="AZ23" s="31">
        <v>42000</v>
      </c>
      <c r="BA23" s="32">
        <f>JANReport[[#This Row],[Salary]]/JANReport[[#This Row],[Days]]</f>
        <v>1354.8387096774193</v>
      </c>
      <c r="BB23" s="31">
        <f>JANReport[[#This Row],[Perday salary]]*JANReport[[#This Row],[Adsent]]</f>
        <v>0</v>
      </c>
      <c r="BC23" s="31">
        <f>JANReport[[#This Row],[Salary]]-JANReport[[#This Row],[Detuction ]]</f>
        <v>42000</v>
      </c>
      <c r="BD23" s="29"/>
      <c r="BE23" s="39"/>
      <c r="BF23" s="37"/>
      <c r="BG23" s="37"/>
      <c r="BH23" s="37"/>
      <c r="BI23" s="37"/>
      <c r="BJ23" s="37"/>
      <c r="BK23" s="37"/>
    </row>
    <row r="24" spans="1:63" ht="15.6" x14ac:dyDescent="0.3">
      <c r="D24" s="37"/>
      <c r="E24" s="41"/>
      <c r="F24" s="20">
        <v>18</v>
      </c>
      <c r="G24" s="21">
        <v>1018</v>
      </c>
      <c r="H24" s="22" t="s">
        <v>20</v>
      </c>
      <c r="I24" s="61">
        <f t="shared" si="9"/>
        <v>4</v>
      </c>
      <c r="J24" s="64" t="s">
        <v>42</v>
      </c>
      <c r="K24" s="64" t="s">
        <v>42</v>
      </c>
      <c r="L24" s="64" t="s">
        <v>42</v>
      </c>
      <c r="M24" s="64" t="s">
        <v>42</v>
      </c>
      <c r="N24" s="64" t="str">
        <f t="shared" si="12"/>
        <v>WO</v>
      </c>
      <c r="O24" s="64" t="s">
        <v>42</v>
      </c>
      <c r="P24" s="64" t="s">
        <v>42</v>
      </c>
      <c r="Q24" s="64" t="s">
        <v>44</v>
      </c>
      <c r="R24" s="64" t="s">
        <v>42</v>
      </c>
      <c r="S24" s="64" t="s">
        <v>42</v>
      </c>
      <c r="T24" s="64" t="s">
        <v>42</v>
      </c>
      <c r="U24" s="64" t="str">
        <f t="shared" si="12"/>
        <v>WO</v>
      </c>
      <c r="V24" s="64" t="s">
        <v>42</v>
      </c>
      <c r="W24" s="64" t="s">
        <v>42</v>
      </c>
      <c r="X24" s="64" t="s">
        <v>42</v>
      </c>
      <c r="Y24" s="64" t="s">
        <v>44</v>
      </c>
      <c r="Z24" s="64" t="s">
        <v>42</v>
      </c>
      <c r="AA24" s="64" t="s">
        <v>42</v>
      </c>
      <c r="AB24" s="64" t="str">
        <f t="shared" si="11"/>
        <v>WO</v>
      </c>
      <c r="AC24" s="64" t="s">
        <v>42</v>
      </c>
      <c r="AD24" s="64" t="s">
        <v>42</v>
      </c>
      <c r="AE24" s="64" t="s">
        <v>42</v>
      </c>
      <c r="AF24" s="64" t="s">
        <v>42</v>
      </c>
      <c r="AG24" s="64" t="s">
        <v>42</v>
      </c>
      <c r="AH24" s="64" t="s">
        <v>42</v>
      </c>
      <c r="AI24" s="64" t="str">
        <f t="shared" si="11"/>
        <v>WO</v>
      </c>
      <c r="AJ24" s="64" t="s">
        <v>42</v>
      </c>
      <c r="AK24" s="64" t="s">
        <v>42</v>
      </c>
      <c r="AL24" s="64" t="s">
        <v>42</v>
      </c>
      <c r="AM24" s="64" t="s">
        <v>42</v>
      </c>
      <c r="AN24" s="73" t="s">
        <v>42</v>
      </c>
      <c r="AO24" s="39"/>
      <c r="AP24" s="28">
        <v>18</v>
      </c>
      <c r="AQ24" s="21">
        <v>1018</v>
      </c>
      <c r="AR24" s="33" t="str">
        <f t="shared" si="4"/>
        <v>January</v>
      </c>
      <c r="AS24" s="21" t="s">
        <v>20</v>
      </c>
      <c r="AT24" s="29">
        <f t="shared" si="5"/>
        <v>25</v>
      </c>
      <c r="AU24" s="29">
        <f t="shared" si="6"/>
        <v>0</v>
      </c>
      <c r="AV24" s="29">
        <f t="shared" si="7"/>
        <v>2</v>
      </c>
      <c r="AW24" s="29">
        <f t="shared" si="8"/>
        <v>4</v>
      </c>
      <c r="AX24" s="30">
        <f t="shared" si="10"/>
        <v>31</v>
      </c>
      <c r="AY24" s="29">
        <f>JANReport[[#This Row],[Days]]-JANReport[[#This Row],[Adsent]]</f>
        <v>31</v>
      </c>
      <c r="AZ24" s="31">
        <v>62000</v>
      </c>
      <c r="BA24" s="32">
        <f>JANReport[[#This Row],[Salary]]/JANReport[[#This Row],[Days]]</f>
        <v>2000</v>
      </c>
      <c r="BB24" s="31">
        <f>JANReport[[#This Row],[Perday salary]]*JANReport[[#This Row],[Adsent]]</f>
        <v>0</v>
      </c>
      <c r="BC24" s="31">
        <f>JANReport[[#This Row],[Salary]]-JANReport[[#This Row],[Detuction ]]</f>
        <v>62000</v>
      </c>
      <c r="BD24" s="29"/>
      <c r="BE24" s="39"/>
      <c r="BF24" s="37"/>
      <c r="BG24" s="37"/>
      <c r="BH24" s="37"/>
      <c r="BI24" s="37"/>
      <c r="BJ24" s="37"/>
      <c r="BK24" s="37"/>
    </row>
    <row r="25" spans="1:63" ht="15.6" x14ac:dyDescent="0.3">
      <c r="D25" s="37"/>
      <c r="E25" s="41"/>
      <c r="F25" s="20">
        <v>19</v>
      </c>
      <c r="G25" s="21">
        <v>1019</v>
      </c>
      <c r="H25" s="22" t="s">
        <v>21</v>
      </c>
      <c r="I25" s="61">
        <f t="shared" si="9"/>
        <v>4</v>
      </c>
      <c r="J25" s="64" t="s">
        <v>42</v>
      </c>
      <c r="K25" s="64" t="s">
        <v>42</v>
      </c>
      <c r="L25" s="64" t="s">
        <v>42</v>
      </c>
      <c r="M25" s="64" t="s">
        <v>42</v>
      </c>
      <c r="N25" s="64" t="str">
        <f t="shared" si="12"/>
        <v>WO</v>
      </c>
      <c r="O25" s="64" t="s">
        <v>42</v>
      </c>
      <c r="P25" s="64" t="s">
        <v>42</v>
      </c>
      <c r="Q25" s="64" t="s">
        <v>44</v>
      </c>
      <c r="R25" s="64" t="s">
        <v>42</v>
      </c>
      <c r="S25" s="64" t="s">
        <v>42</v>
      </c>
      <c r="T25" s="64" t="s">
        <v>42</v>
      </c>
      <c r="U25" s="64" t="str">
        <f t="shared" si="12"/>
        <v>WO</v>
      </c>
      <c r="V25" s="64" t="s">
        <v>42</v>
      </c>
      <c r="W25" s="64" t="s">
        <v>42</v>
      </c>
      <c r="X25" s="64" t="s">
        <v>42</v>
      </c>
      <c r="Y25" s="64" t="s">
        <v>44</v>
      </c>
      <c r="Z25" s="64" t="s">
        <v>42</v>
      </c>
      <c r="AA25" s="64" t="s">
        <v>42</v>
      </c>
      <c r="AB25" s="64" t="str">
        <f t="shared" si="11"/>
        <v>WO</v>
      </c>
      <c r="AC25" s="64" t="s">
        <v>42</v>
      </c>
      <c r="AD25" s="64" t="s">
        <v>42</v>
      </c>
      <c r="AE25" s="64" t="s">
        <v>42</v>
      </c>
      <c r="AF25" s="64" t="s">
        <v>42</v>
      </c>
      <c r="AG25" s="64" t="s">
        <v>42</v>
      </c>
      <c r="AH25" s="64" t="s">
        <v>42</v>
      </c>
      <c r="AI25" s="64" t="str">
        <f t="shared" si="11"/>
        <v>WO</v>
      </c>
      <c r="AJ25" s="64" t="s">
        <v>42</v>
      </c>
      <c r="AK25" s="64" t="s">
        <v>42</v>
      </c>
      <c r="AL25" s="64" t="s">
        <v>42</v>
      </c>
      <c r="AM25" s="64" t="s">
        <v>42</v>
      </c>
      <c r="AN25" s="73" t="s">
        <v>43</v>
      </c>
      <c r="AO25" s="39"/>
      <c r="AP25" s="28">
        <v>19</v>
      </c>
      <c r="AQ25" s="21">
        <v>1019</v>
      </c>
      <c r="AR25" s="33" t="str">
        <f t="shared" si="4"/>
        <v>January</v>
      </c>
      <c r="AS25" s="21" t="s">
        <v>21</v>
      </c>
      <c r="AT25" s="29">
        <f t="shared" si="5"/>
        <v>24</v>
      </c>
      <c r="AU25" s="29">
        <f t="shared" si="6"/>
        <v>1</v>
      </c>
      <c r="AV25" s="29">
        <f t="shared" si="7"/>
        <v>2</v>
      </c>
      <c r="AW25" s="29">
        <f t="shared" si="8"/>
        <v>4</v>
      </c>
      <c r="AX25" s="30">
        <f t="shared" si="10"/>
        <v>31</v>
      </c>
      <c r="AY25" s="29">
        <f>JANReport[[#This Row],[Days]]-JANReport[[#This Row],[Adsent]]</f>
        <v>30</v>
      </c>
      <c r="AZ25" s="31">
        <v>41000</v>
      </c>
      <c r="BA25" s="32">
        <f>JANReport[[#This Row],[Salary]]/JANReport[[#This Row],[Days]]</f>
        <v>1322.5806451612902</v>
      </c>
      <c r="BB25" s="31">
        <f>JANReport[[#This Row],[Perday salary]]*JANReport[[#This Row],[Adsent]]</f>
        <v>1322.5806451612902</v>
      </c>
      <c r="BC25" s="31">
        <f>JANReport[[#This Row],[Salary]]-JANReport[[#This Row],[Detuction ]]</f>
        <v>39677.419354838712</v>
      </c>
      <c r="BD25" s="29"/>
      <c r="BE25" s="39"/>
      <c r="BF25" s="37"/>
      <c r="BG25" s="37"/>
      <c r="BH25" s="37"/>
      <c r="BI25" s="37"/>
      <c r="BJ25" s="37"/>
      <c r="BK25" s="37"/>
    </row>
    <row r="26" spans="1:63" ht="16.2" thickBot="1" x14ac:dyDescent="0.35">
      <c r="D26" s="37"/>
      <c r="E26" s="41"/>
      <c r="F26" s="24">
        <v>20</v>
      </c>
      <c r="G26" s="25">
        <v>1020</v>
      </c>
      <c r="H26" s="26" t="s">
        <v>22</v>
      </c>
      <c r="I26" s="62">
        <f t="shared" si="9"/>
        <v>4</v>
      </c>
      <c r="J26" s="65" t="s">
        <v>42</v>
      </c>
      <c r="K26" s="65" t="s">
        <v>42</v>
      </c>
      <c r="L26" s="65" t="s">
        <v>42</v>
      </c>
      <c r="M26" s="65" t="s">
        <v>42</v>
      </c>
      <c r="N26" s="65" t="str">
        <f t="shared" si="12"/>
        <v>WO</v>
      </c>
      <c r="O26" s="65" t="s">
        <v>42</v>
      </c>
      <c r="P26" s="65" t="s">
        <v>42</v>
      </c>
      <c r="Q26" s="65" t="s">
        <v>44</v>
      </c>
      <c r="R26" s="65" t="s">
        <v>42</v>
      </c>
      <c r="S26" s="65" t="s">
        <v>42</v>
      </c>
      <c r="T26" s="65" t="s">
        <v>42</v>
      </c>
      <c r="U26" s="65" t="str">
        <f t="shared" si="12"/>
        <v>WO</v>
      </c>
      <c r="V26" s="65" t="s">
        <v>42</v>
      </c>
      <c r="W26" s="65" t="s">
        <v>42</v>
      </c>
      <c r="X26" s="65" t="s">
        <v>42</v>
      </c>
      <c r="Y26" s="65" t="s">
        <v>44</v>
      </c>
      <c r="Z26" s="65" t="s">
        <v>42</v>
      </c>
      <c r="AA26" s="65" t="s">
        <v>42</v>
      </c>
      <c r="AB26" s="65" t="str">
        <f t="shared" si="11"/>
        <v>WO</v>
      </c>
      <c r="AC26" s="65" t="s">
        <v>42</v>
      </c>
      <c r="AD26" s="65" t="s">
        <v>42</v>
      </c>
      <c r="AE26" s="65" t="s">
        <v>42</v>
      </c>
      <c r="AF26" s="65" t="s">
        <v>42</v>
      </c>
      <c r="AG26" s="65" t="s">
        <v>42</v>
      </c>
      <c r="AH26" s="65" t="s">
        <v>42</v>
      </c>
      <c r="AI26" s="65" t="str">
        <f t="shared" si="11"/>
        <v>WO</v>
      </c>
      <c r="AJ26" s="65" t="s">
        <v>42</v>
      </c>
      <c r="AK26" s="65" t="s">
        <v>42</v>
      </c>
      <c r="AL26" s="65" t="s">
        <v>42</v>
      </c>
      <c r="AM26" s="65" t="s">
        <v>42</v>
      </c>
      <c r="AN26" s="74" t="s">
        <v>42</v>
      </c>
      <c r="AO26" s="39"/>
      <c r="AP26" s="28">
        <v>20</v>
      </c>
      <c r="AQ26" s="21">
        <v>1020</v>
      </c>
      <c r="AR26" s="33" t="str">
        <f t="shared" si="4"/>
        <v>January</v>
      </c>
      <c r="AS26" s="21" t="s">
        <v>22</v>
      </c>
      <c r="AT26" s="29">
        <f t="shared" si="5"/>
        <v>25</v>
      </c>
      <c r="AU26" s="29">
        <f t="shared" si="6"/>
        <v>0</v>
      </c>
      <c r="AV26" s="29">
        <f t="shared" si="7"/>
        <v>2</v>
      </c>
      <c r="AW26" s="29">
        <f t="shared" si="8"/>
        <v>4</v>
      </c>
      <c r="AX26" s="30">
        <f t="shared" si="10"/>
        <v>31</v>
      </c>
      <c r="AY26" s="29">
        <f>JANReport[[#This Row],[Days]]-JANReport[[#This Row],[Adsent]]</f>
        <v>31</v>
      </c>
      <c r="AZ26" s="31">
        <v>30000</v>
      </c>
      <c r="BA26" s="32">
        <f>JANReport[[#This Row],[Salary]]/JANReport[[#This Row],[Days]]</f>
        <v>967.74193548387098</v>
      </c>
      <c r="BB26" s="31">
        <f>JANReport[[#This Row],[Perday salary]]*JANReport[[#This Row],[Adsent]]</f>
        <v>0</v>
      </c>
      <c r="BC26" s="31">
        <f>JANReport[[#This Row],[Salary]]-JANReport[[#This Row],[Detuction ]]</f>
        <v>30000</v>
      </c>
      <c r="BD26" s="29"/>
      <c r="BE26" s="39"/>
      <c r="BF26" s="37"/>
      <c r="BG26" s="37"/>
      <c r="BH26" s="37"/>
      <c r="BI26" s="37"/>
      <c r="BJ26" s="37"/>
      <c r="BK26" s="37"/>
    </row>
    <row r="27" spans="1:63" x14ac:dyDescent="0.3">
      <c r="D27" s="37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  <c r="AA27" s="41"/>
      <c r="AB27" s="41"/>
      <c r="AC27" s="41"/>
      <c r="AD27" s="41"/>
      <c r="AE27" s="41"/>
      <c r="AF27" s="41"/>
      <c r="AG27" s="41"/>
      <c r="AH27" s="41"/>
      <c r="AI27" s="41"/>
      <c r="AJ27" s="41"/>
      <c r="AK27" s="41"/>
      <c r="AL27" s="41"/>
      <c r="AM27" s="41"/>
      <c r="AN27" s="41"/>
      <c r="AO27" s="39"/>
      <c r="AP27" s="39"/>
      <c r="AQ27" s="39"/>
      <c r="AR27" s="39"/>
      <c r="AS27" s="39"/>
      <c r="AT27" s="39"/>
      <c r="AU27" s="39"/>
      <c r="AV27" s="39"/>
      <c r="AW27" s="39"/>
      <c r="AX27" s="39"/>
      <c r="AY27" s="39"/>
      <c r="AZ27" s="39"/>
      <c r="BA27" s="39"/>
      <c r="BB27" s="39"/>
      <c r="BC27" s="39"/>
      <c r="BD27" s="39"/>
      <c r="BE27" s="39"/>
      <c r="BF27" s="37"/>
      <c r="BG27" s="37"/>
      <c r="BH27" s="37"/>
      <c r="BI27" s="37"/>
      <c r="BJ27" s="37"/>
      <c r="BK27" s="37"/>
    </row>
    <row r="28" spans="1:63" x14ac:dyDescent="0.3"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  <c r="AA28" s="37"/>
      <c r="AB28" s="37"/>
      <c r="AC28" s="37"/>
      <c r="AD28" s="37"/>
      <c r="AE28" s="37"/>
      <c r="AF28" s="37"/>
      <c r="AG28" s="37"/>
      <c r="AH28" s="37"/>
      <c r="AI28" s="37"/>
      <c r="AJ28" s="37"/>
      <c r="AK28" s="37"/>
      <c r="AL28" s="37"/>
      <c r="AM28" s="37"/>
      <c r="AN28" s="37"/>
      <c r="AO28" s="37"/>
      <c r="AP28" s="37"/>
      <c r="AQ28" s="37"/>
      <c r="AR28" s="37"/>
      <c r="AS28" s="37"/>
      <c r="AT28" s="37"/>
      <c r="AU28" s="37"/>
      <c r="AV28" s="37"/>
      <c r="AW28" s="37"/>
      <c r="AX28" s="37"/>
      <c r="AY28" s="37"/>
      <c r="AZ28" s="37"/>
      <c r="BA28" s="37"/>
      <c r="BB28" s="37"/>
      <c r="BC28" s="37"/>
      <c r="BD28" s="37"/>
      <c r="BE28" s="37"/>
      <c r="BF28" s="37"/>
      <c r="BG28" s="37"/>
      <c r="BH28" s="37"/>
      <c r="BI28" s="37"/>
      <c r="BJ28" s="37"/>
      <c r="BK28" s="37"/>
    </row>
    <row r="29" spans="1:63" x14ac:dyDescent="0.3"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  <c r="AA29" s="37"/>
      <c r="AB29" s="37"/>
      <c r="AC29" s="37"/>
      <c r="AD29" s="37"/>
      <c r="AE29" s="37"/>
      <c r="AF29" s="37"/>
      <c r="AG29" s="37"/>
      <c r="AH29" s="37"/>
      <c r="AI29" s="37"/>
      <c r="AJ29" s="37"/>
      <c r="AK29" s="37"/>
      <c r="AL29" s="37"/>
      <c r="AM29" s="37"/>
      <c r="AN29" s="37"/>
      <c r="AO29" s="37"/>
      <c r="AP29" s="37"/>
      <c r="AQ29" s="37"/>
      <c r="AR29" s="37"/>
      <c r="AS29" s="37"/>
      <c r="AT29" s="37"/>
      <c r="AU29" s="37"/>
      <c r="AV29" s="37"/>
      <c r="AW29" s="37"/>
      <c r="AX29" s="37"/>
      <c r="AY29" s="37"/>
      <c r="AZ29" s="37"/>
      <c r="BA29" s="37"/>
      <c r="BB29" s="37"/>
      <c r="BC29" s="37"/>
      <c r="BD29" s="37"/>
      <c r="BE29" s="37"/>
      <c r="BF29" s="37"/>
      <c r="BG29" s="37"/>
      <c r="BH29" s="37"/>
      <c r="BI29" s="37"/>
      <c r="BJ29" s="37"/>
      <c r="BK29" s="37"/>
    </row>
    <row r="30" spans="1:63" x14ac:dyDescent="0.3">
      <c r="A30" s="37"/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  <c r="AA30" s="37"/>
      <c r="AB30" s="37"/>
      <c r="AC30" s="37"/>
      <c r="AD30" s="37"/>
      <c r="AE30" s="37"/>
      <c r="AF30" s="37"/>
      <c r="AG30" s="37"/>
      <c r="AH30" s="37"/>
      <c r="AI30" s="37"/>
      <c r="AJ30" s="37"/>
      <c r="AK30" s="37"/>
      <c r="AL30" s="37"/>
      <c r="AM30" s="37"/>
      <c r="AN30" s="37"/>
      <c r="AO30" s="37"/>
      <c r="AP30" s="37"/>
      <c r="AQ30" s="37"/>
      <c r="AR30" s="37"/>
      <c r="AS30" s="37"/>
      <c r="AT30" s="37"/>
      <c r="AU30" s="37"/>
      <c r="AV30" s="37"/>
      <c r="AW30" s="37"/>
      <c r="AX30" s="37"/>
      <c r="AY30" s="37"/>
      <c r="AZ30" s="37"/>
      <c r="BA30" s="37"/>
      <c r="BB30" s="37"/>
      <c r="BC30" s="37"/>
      <c r="BD30" s="37"/>
      <c r="BE30" s="37"/>
      <c r="BF30" s="37"/>
      <c r="BG30" s="37"/>
      <c r="BH30" s="37"/>
      <c r="BI30" s="37"/>
      <c r="BJ30" s="37"/>
      <c r="BK30" s="37"/>
    </row>
    <row r="31" spans="1:63" x14ac:dyDescent="0.3">
      <c r="A31" s="37"/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  <c r="AA31" s="37"/>
      <c r="AB31" s="37"/>
      <c r="AC31" s="37"/>
      <c r="AD31" s="37"/>
      <c r="AE31" s="37"/>
      <c r="AF31" s="37"/>
      <c r="AG31" s="37"/>
      <c r="AH31" s="37"/>
      <c r="AI31" s="37"/>
      <c r="AJ31" s="37"/>
      <c r="AK31" s="37"/>
      <c r="AL31" s="37"/>
      <c r="AM31" s="37"/>
      <c r="AN31" s="37"/>
      <c r="AO31" s="37"/>
      <c r="AP31" s="37"/>
      <c r="AQ31" s="37"/>
      <c r="AR31" s="37"/>
      <c r="AS31" s="37"/>
      <c r="AT31" s="37"/>
      <c r="AU31" s="37"/>
      <c r="AV31" s="37"/>
      <c r="AW31" s="37"/>
      <c r="AX31" s="37"/>
      <c r="AY31" s="37"/>
      <c r="AZ31" s="37"/>
      <c r="BA31" s="37"/>
      <c r="BB31" s="37"/>
      <c r="BC31" s="37"/>
      <c r="BD31" s="37"/>
      <c r="BE31" s="37"/>
      <c r="BF31" s="37"/>
      <c r="BG31" s="37"/>
      <c r="BH31" s="37"/>
      <c r="BI31" s="37"/>
      <c r="BJ31" s="37"/>
      <c r="BK31" s="37"/>
    </row>
    <row r="32" spans="1:63" x14ac:dyDescent="0.3">
      <c r="A32" s="37"/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  <c r="AA32" s="37"/>
      <c r="AB32" s="37"/>
      <c r="AC32" s="37"/>
      <c r="AD32" s="37"/>
      <c r="AE32" s="37"/>
      <c r="AF32" s="37"/>
      <c r="AG32" s="37"/>
      <c r="AH32" s="37"/>
      <c r="AI32" s="37"/>
      <c r="AJ32" s="37"/>
      <c r="AK32" s="37"/>
      <c r="AL32" s="37"/>
      <c r="AM32" s="37"/>
      <c r="AN32" s="37"/>
      <c r="AO32" s="37"/>
      <c r="AP32" s="37"/>
      <c r="AQ32" s="37"/>
      <c r="AR32" s="37"/>
      <c r="AS32" s="37"/>
      <c r="AT32" s="37"/>
      <c r="AU32" s="37"/>
      <c r="AV32" s="37"/>
      <c r="AW32" s="37"/>
      <c r="AX32" s="37"/>
      <c r="AY32" s="37"/>
      <c r="AZ32" s="37"/>
      <c r="BA32" s="37"/>
      <c r="BB32" s="37"/>
      <c r="BC32" s="37"/>
      <c r="BD32" s="37"/>
      <c r="BE32" s="37"/>
      <c r="BF32" s="37"/>
      <c r="BG32" s="37"/>
      <c r="BH32" s="37"/>
      <c r="BI32" s="37"/>
      <c r="BJ32" s="37"/>
      <c r="BK32" s="37"/>
    </row>
    <row r="33" spans="1:63" x14ac:dyDescent="0.3">
      <c r="A33" s="37"/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  <c r="AA33" s="37"/>
      <c r="AB33" s="37"/>
      <c r="AC33" s="37"/>
      <c r="AD33" s="37"/>
      <c r="AE33" s="37"/>
      <c r="AF33" s="37"/>
      <c r="AG33" s="37"/>
      <c r="AH33" s="37"/>
      <c r="AI33" s="37"/>
      <c r="AJ33" s="37"/>
      <c r="AK33" s="37"/>
      <c r="AL33" s="37"/>
      <c r="AM33" s="37"/>
      <c r="AN33" s="37"/>
      <c r="AO33" s="37"/>
      <c r="AP33" s="37"/>
      <c r="AQ33" s="37"/>
      <c r="AR33" s="37"/>
      <c r="AS33" s="37"/>
      <c r="AT33" s="37"/>
      <c r="AU33" s="37"/>
      <c r="AV33" s="37"/>
      <c r="AW33" s="37"/>
      <c r="AX33" s="37"/>
      <c r="AY33" s="37"/>
      <c r="AZ33" s="37"/>
      <c r="BA33" s="37"/>
      <c r="BB33" s="37"/>
      <c r="BC33" s="37"/>
      <c r="BD33" s="37"/>
      <c r="BE33" s="37"/>
      <c r="BF33" s="37"/>
      <c r="BG33" s="37"/>
      <c r="BH33" s="37"/>
      <c r="BI33" s="37"/>
      <c r="BJ33" s="37"/>
      <c r="BK33" s="37"/>
    </row>
    <row r="34" spans="1:63" x14ac:dyDescent="0.3">
      <c r="A34" s="37"/>
      <c r="B34" s="37"/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  <c r="AA34" s="37"/>
      <c r="AB34" s="37"/>
      <c r="AC34" s="37"/>
      <c r="AD34" s="37"/>
      <c r="AE34" s="37"/>
      <c r="AF34" s="37"/>
      <c r="AG34" s="37"/>
      <c r="AH34" s="37"/>
      <c r="AI34" s="37"/>
      <c r="AJ34" s="37"/>
      <c r="AK34" s="37"/>
      <c r="AL34" s="37"/>
      <c r="AM34" s="37"/>
      <c r="AN34" s="37"/>
      <c r="AO34" s="37"/>
      <c r="AP34" s="37"/>
      <c r="AQ34" s="37"/>
      <c r="AR34" s="37"/>
      <c r="AS34" s="37"/>
      <c r="AT34" s="37"/>
      <c r="AU34" s="37"/>
      <c r="AV34" s="37"/>
      <c r="AW34" s="37"/>
      <c r="AX34" s="37"/>
      <c r="AY34" s="37"/>
      <c r="AZ34" s="37"/>
      <c r="BA34" s="37"/>
      <c r="BB34" s="37"/>
      <c r="BC34" s="37"/>
      <c r="BD34" s="37"/>
      <c r="BE34" s="37"/>
      <c r="BF34" s="37"/>
      <c r="BG34" s="37"/>
      <c r="BH34" s="37"/>
      <c r="BI34" s="37"/>
      <c r="BJ34" s="37"/>
      <c r="BK34" s="37"/>
    </row>
    <row r="35" spans="1:63" x14ac:dyDescent="0.3">
      <c r="A35" s="37"/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  <c r="AA35" s="37"/>
      <c r="AB35" s="37"/>
      <c r="AC35" s="37"/>
      <c r="AD35" s="37"/>
      <c r="AE35" s="37"/>
      <c r="AF35" s="37"/>
      <c r="AG35" s="37"/>
      <c r="AH35" s="37"/>
      <c r="AI35" s="37"/>
      <c r="AJ35" s="37"/>
      <c r="AK35" s="37"/>
      <c r="AL35" s="37"/>
      <c r="AM35" s="37"/>
      <c r="AN35" s="37"/>
      <c r="AO35" s="37"/>
      <c r="AP35" s="37"/>
      <c r="AQ35" s="37"/>
      <c r="AR35" s="37"/>
      <c r="AS35" s="37"/>
      <c r="AT35" s="37"/>
      <c r="AU35" s="37"/>
      <c r="AV35" s="37"/>
      <c r="AW35" s="37"/>
      <c r="AX35" s="37"/>
      <c r="AY35" s="37"/>
      <c r="AZ35" s="37"/>
      <c r="BA35" s="37"/>
      <c r="BB35" s="37"/>
      <c r="BC35" s="37"/>
      <c r="BD35" s="37"/>
      <c r="BE35" s="37"/>
      <c r="BF35" s="37"/>
      <c r="BG35" s="37"/>
      <c r="BH35" s="37"/>
      <c r="BI35" s="37"/>
      <c r="BJ35" s="37"/>
      <c r="BK35" s="37"/>
    </row>
    <row r="36" spans="1:63" x14ac:dyDescent="0.3">
      <c r="A36" s="37"/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  <c r="AA36" s="37"/>
      <c r="AB36" s="37"/>
      <c r="AC36" s="37"/>
      <c r="AD36" s="37"/>
      <c r="AE36" s="37"/>
      <c r="AF36" s="37"/>
      <c r="AG36" s="37"/>
      <c r="AH36" s="37"/>
      <c r="AI36" s="37"/>
      <c r="AJ36" s="37"/>
      <c r="AK36" s="37"/>
      <c r="AL36" s="37"/>
      <c r="AM36" s="37"/>
      <c r="AN36" s="37"/>
      <c r="AO36" s="37"/>
      <c r="AP36" s="37"/>
      <c r="AQ36" s="37"/>
      <c r="AR36" s="37"/>
      <c r="AS36" s="37"/>
      <c r="AT36" s="37"/>
      <c r="AU36" s="37"/>
      <c r="AV36" s="37"/>
      <c r="AW36" s="37"/>
      <c r="AX36" s="37"/>
      <c r="AY36" s="37"/>
      <c r="AZ36" s="37"/>
      <c r="BA36" s="37"/>
      <c r="BB36" s="37"/>
      <c r="BC36" s="37"/>
      <c r="BD36" s="37"/>
      <c r="BE36" s="37"/>
      <c r="BF36" s="37"/>
      <c r="BG36" s="37"/>
      <c r="BH36" s="37"/>
      <c r="BI36" s="37"/>
      <c r="BJ36" s="37"/>
      <c r="BK36" s="37"/>
    </row>
    <row r="37" spans="1:63" x14ac:dyDescent="0.3">
      <c r="A37" s="37"/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37"/>
      <c r="AB37" s="37"/>
      <c r="AC37" s="37"/>
      <c r="AD37" s="37"/>
      <c r="AE37" s="37"/>
      <c r="AF37" s="37"/>
      <c r="AG37" s="37"/>
      <c r="AH37" s="37"/>
      <c r="AI37" s="37"/>
      <c r="AJ37" s="37"/>
      <c r="AK37" s="37"/>
      <c r="AL37" s="37"/>
      <c r="AM37" s="37"/>
      <c r="AN37" s="37"/>
      <c r="AO37" s="37"/>
      <c r="AP37" s="37"/>
      <c r="AQ37" s="37"/>
      <c r="AR37" s="37"/>
      <c r="AS37" s="37"/>
      <c r="AT37" s="37"/>
      <c r="AU37" s="37"/>
      <c r="AV37" s="37"/>
      <c r="AW37" s="37"/>
      <c r="AX37" s="37"/>
      <c r="AY37" s="37"/>
      <c r="AZ37" s="37"/>
      <c r="BA37" s="37"/>
      <c r="BB37" s="37"/>
      <c r="BC37" s="37"/>
      <c r="BD37" s="37"/>
      <c r="BE37" s="37"/>
      <c r="BF37" s="37"/>
      <c r="BG37" s="37"/>
      <c r="BH37" s="37"/>
      <c r="BI37" s="37"/>
      <c r="BJ37" s="37"/>
      <c r="BK37" s="37"/>
    </row>
    <row r="38" spans="1:63" x14ac:dyDescent="0.3">
      <c r="A38" s="37"/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  <c r="AA38" s="37"/>
      <c r="AB38" s="37"/>
      <c r="AC38" s="37"/>
      <c r="AD38" s="37"/>
      <c r="AE38" s="37"/>
      <c r="AF38" s="37"/>
      <c r="AG38" s="37"/>
      <c r="AH38" s="37"/>
      <c r="AI38" s="37"/>
      <c r="AJ38" s="37"/>
      <c r="AK38" s="37"/>
      <c r="AL38" s="37"/>
      <c r="AM38" s="37"/>
      <c r="AN38" s="37"/>
      <c r="AO38" s="37"/>
      <c r="AP38" s="37"/>
      <c r="AQ38" s="37"/>
      <c r="AR38" s="37"/>
      <c r="AS38" s="37"/>
      <c r="AT38" s="37"/>
      <c r="AU38" s="37"/>
      <c r="AV38" s="37"/>
      <c r="AW38" s="37"/>
      <c r="AX38" s="37"/>
      <c r="AY38" s="37"/>
      <c r="AZ38" s="37"/>
      <c r="BA38" s="37"/>
      <c r="BB38" s="37"/>
      <c r="BC38" s="37"/>
      <c r="BD38" s="37"/>
      <c r="BE38" s="37"/>
      <c r="BF38" s="37"/>
      <c r="BG38" s="37"/>
      <c r="BH38" s="37"/>
      <c r="BI38" s="37"/>
      <c r="BJ38" s="37"/>
      <c r="BK38" s="37"/>
    </row>
    <row r="39" spans="1:63" x14ac:dyDescent="0.3">
      <c r="A39" s="37"/>
      <c r="B39" s="37"/>
      <c r="C39" s="37"/>
      <c r="D39" s="37"/>
      <c r="E39" s="37"/>
      <c r="F39" s="37"/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  <c r="AA39" s="37"/>
      <c r="AB39" s="37"/>
      <c r="AC39" s="37"/>
      <c r="AD39" s="37"/>
      <c r="AE39" s="37"/>
      <c r="AF39" s="37"/>
      <c r="AG39" s="37"/>
      <c r="AH39" s="37"/>
      <c r="AI39" s="37"/>
      <c r="AJ39" s="37"/>
      <c r="AK39" s="37"/>
      <c r="AL39" s="37"/>
      <c r="AM39" s="37"/>
      <c r="AN39" s="37"/>
      <c r="AO39" s="37"/>
      <c r="AP39" s="37"/>
      <c r="AQ39" s="37"/>
      <c r="AR39" s="37"/>
      <c r="AS39" s="37"/>
      <c r="AT39" s="37"/>
      <c r="AU39" s="37"/>
      <c r="AV39" s="37"/>
      <c r="AW39" s="37"/>
      <c r="AX39" s="37"/>
      <c r="AY39" s="37"/>
      <c r="AZ39" s="37"/>
      <c r="BA39" s="37"/>
      <c r="BB39" s="37"/>
      <c r="BC39" s="37"/>
      <c r="BD39" s="37"/>
      <c r="BE39" s="37"/>
      <c r="BF39" s="37"/>
      <c r="BG39" s="37"/>
      <c r="BH39" s="37"/>
      <c r="BI39" s="37"/>
      <c r="BJ39" s="37"/>
      <c r="BK39" s="37"/>
    </row>
    <row r="40" spans="1:63" x14ac:dyDescent="0.3">
      <c r="A40" s="37"/>
      <c r="B40" s="37"/>
      <c r="C40" s="37"/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  <c r="AA40" s="37"/>
      <c r="AB40" s="37"/>
      <c r="AC40" s="37"/>
      <c r="AD40" s="37"/>
      <c r="AE40" s="37"/>
      <c r="AF40" s="37"/>
      <c r="AG40" s="37"/>
      <c r="AH40" s="37"/>
      <c r="AI40" s="37"/>
      <c r="AJ40" s="37"/>
      <c r="AK40" s="37"/>
      <c r="AL40" s="37"/>
      <c r="AM40" s="37"/>
      <c r="AN40" s="37"/>
      <c r="AO40" s="37"/>
      <c r="AP40" s="37"/>
      <c r="AQ40" s="37"/>
      <c r="AR40" s="37"/>
      <c r="AS40" s="37"/>
      <c r="AT40" s="37"/>
      <c r="AU40" s="37"/>
      <c r="AV40" s="37"/>
      <c r="AW40" s="37"/>
      <c r="AX40" s="37"/>
      <c r="AY40" s="37"/>
      <c r="AZ40" s="37"/>
      <c r="BA40" s="37"/>
      <c r="BB40" s="37"/>
      <c r="BC40" s="37"/>
      <c r="BD40" s="37"/>
      <c r="BE40" s="37"/>
      <c r="BF40" s="37"/>
      <c r="BG40" s="37"/>
      <c r="BH40" s="37"/>
      <c r="BI40" s="37"/>
      <c r="BJ40" s="37"/>
      <c r="BK40" s="37"/>
    </row>
    <row r="41" spans="1:63" x14ac:dyDescent="0.3">
      <c r="A41" s="37"/>
      <c r="B41" s="37"/>
      <c r="C41" s="37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  <c r="AA41" s="37"/>
      <c r="AB41" s="37"/>
      <c r="AC41" s="37"/>
      <c r="AD41" s="37"/>
      <c r="AE41" s="37"/>
      <c r="AF41" s="37"/>
      <c r="AG41" s="37"/>
      <c r="AH41" s="37"/>
      <c r="AI41" s="37"/>
      <c r="AJ41" s="37"/>
      <c r="AK41" s="37"/>
      <c r="AL41" s="37"/>
      <c r="AM41" s="37"/>
      <c r="AN41" s="37"/>
      <c r="AO41" s="37"/>
      <c r="AP41" s="37"/>
      <c r="AQ41" s="37"/>
      <c r="AR41" s="37"/>
      <c r="AS41" s="37"/>
      <c r="AT41" s="37"/>
      <c r="AU41" s="37"/>
      <c r="AV41" s="37"/>
      <c r="AW41" s="37"/>
      <c r="AX41" s="37"/>
      <c r="AY41" s="37"/>
      <c r="AZ41" s="37"/>
      <c r="BA41" s="37"/>
      <c r="BB41" s="37"/>
      <c r="BC41" s="37"/>
      <c r="BD41" s="37"/>
      <c r="BE41" s="37"/>
      <c r="BF41" s="37"/>
      <c r="BG41" s="37"/>
      <c r="BH41" s="37"/>
      <c r="BI41" s="37"/>
      <c r="BJ41" s="37"/>
      <c r="BK41" s="37"/>
    </row>
    <row r="42" spans="1:63" x14ac:dyDescent="0.3">
      <c r="A42" s="37"/>
      <c r="B42" s="37"/>
      <c r="C42" s="37"/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  <c r="AA42" s="37"/>
      <c r="AB42" s="37"/>
      <c r="AC42" s="37"/>
      <c r="AD42" s="37"/>
      <c r="AE42" s="37"/>
      <c r="AF42" s="37"/>
      <c r="AG42" s="37"/>
      <c r="AH42" s="37"/>
      <c r="AI42" s="37"/>
      <c r="AJ42" s="37"/>
      <c r="AK42" s="37"/>
      <c r="AL42" s="37"/>
      <c r="AM42" s="37"/>
      <c r="AN42" s="37"/>
      <c r="AO42" s="37"/>
      <c r="AP42" s="37"/>
      <c r="AQ42" s="37"/>
      <c r="AR42" s="37"/>
      <c r="AS42" s="37"/>
      <c r="AT42" s="37"/>
      <c r="AU42" s="37"/>
      <c r="AV42" s="37"/>
      <c r="AW42" s="37"/>
      <c r="AX42" s="37"/>
      <c r="AY42" s="37"/>
      <c r="AZ42" s="37"/>
      <c r="BA42" s="37"/>
      <c r="BB42" s="37"/>
      <c r="BC42" s="37"/>
      <c r="BD42" s="37"/>
      <c r="BE42" s="37"/>
      <c r="BF42" s="37"/>
      <c r="BG42" s="37"/>
      <c r="BH42" s="37"/>
      <c r="BI42" s="37"/>
      <c r="BJ42" s="37"/>
      <c r="BK42" s="37"/>
    </row>
    <row r="43" spans="1:63" x14ac:dyDescent="0.3">
      <c r="A43" s="37"/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  <c r="AA43" s="37"/>
      <c r="AB43" s="37"/>
      <c r="AC43" s="37"/>
      <c r="AD43" s="37"/>
      <c r="AE43" s="37"/>
      <c r="AF43" s="37"/>
      <c r="AG43" s="37"/>
      <c r="AH43" s="37"/>
      <c r="AI43" s="37"/>
      <c r="AJ43" s="37"/>
      <c r="AK43" s="37"/>
      <c r="AL43" s="37"/>
      <c r="AM43" s="37"/>
      <c r="AN43" s="37"/>
      <c r="AO43" s="37"/>
      <c r="AP43" s="37"/>
      <c r="AQ43" s="37"/>
      <c r="AR43" s="37"/>
      <c r="AS43" s="37"/>
      <c r="AT43" s="37"/>
      <c r="AU43" s="37"/>
      <c r="AV43" s="37"/>
      <c r="AW43" s="37"/>
      <c r="AX43" s="37"/>
      <c r="AY43" s="37"/>
      <c r="AZ43" s="37"/>
      <c r="BA43" s="37"/>
      <c r="BB43" s="37"/>
      <c r="BC43" s="37"/>
      <c r="BD43" s="37"/>
      <c r="BE43" s="37"/>
      <c r="BF43" s="37"/>
      <c r="BG43" s="37"/>
      <c r="BH43" s="37"/>
      <c r="BI43" s="37"/>
      <c r="BJ43" s="37"/>
      <c r="BK43" s="37"/>
    </row>
    <row r="44" spans="1:63" x14ac:dyDescent="0.3">
      <c r="A44" s="37"/>
      <c r="B44" s="37"/>
      <c r="C44" s="37"/>
      <c r="D44" s="37"/>
      <c r="E44" s="37"/>
      <c r="F44" s="37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  <c r="AA44" s="37"/>
      <c r="AB44" s="37"/>
      <c r="AC44" s="37"/>
      <c r="AD44" s="37"/>
      <c r="AE44" s="37"/>
      <c r="AF44" s="37"/>
      <c r="AG44" s="37"/>
      <c r="AH44" s="37"/>
      <c r="AI44" s="37"/>
      <c r="AJ44" s="37"/>
      <c r="AK44" s="37"/>
      <c r="AL44" s="37"/>
      <c r="AM44" s="37"/>
      <c r="AN44" s="37"/>
      <c r="AO44" s="37"/>
      <c r="AP44" s="37"/>
      <c r="AQ44" s="37"/>
      <c r="AR44" s="37"/>
      <c r="AS44" s="37"/>
      <c r="AT44" s="37"/>
      <c r="AU44" s="37"/>
      <c r="AV44" s="37"/>
      <c r="AW44" s="37"/>
      <c r="AX44" s="37"/>
      <c r="AY44" s="37"/>
      <c r="AZ44" s="37"/>
      <c r="BA44" s="37"/>
      <c r="BB44" s="37"/>
      <c r="BC44" s="37"/>
      <c r="BD44" s="37"/>
      <c r="BE44" s="37"/>
      <c r="BF44" s="37"/>
      <c r="BG44" s="37"/>
      <c r="BH44" s="37"/>
      <c r="BI44" s="37"/>
      <c r="BJ44" s="37"/>
      <c r="BK44" s="37"/>
    </row>
    <row r="45" spans="1:63" x14ac:dyDescent="0.3">
      <c r="A45" s="37"/>
      <c r="B45" s="37"/>
      <c r="C45" s="37"/>
      <c r="E45" s="37"/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  <c r="AA45" s="37"/>
      <c r="AB45" s="37"/>
      <c r="AC45" s="37"/>
      <c r="AD45" s="37"/>
      <c r="AE45" s="37"/>
      <c r="AF45" s="37"/>
      <c r="AG45" s="37"/>
      <c r="AH45" s="37"/>
      <c r="AI45" s="37"/>
      <c r="AJ45" s="37"/>
      <c r="AK45" s="37"/>
      <c r="AL45" s="37"/>
      <c r="AM45" s="37"/>
      <c r="AN45" s="37"/>
      <c r="AO45" s="37"/>
      <c r="AP45" s="37"/>
      <c r="AQ45" s="37"/>
      <c r="AR45" s="37"/>
      <c r="AS45" s="37"/>
      <c r="AT45" s="37"/>
      <c r="AU45" s="37"/>
      <c r="AV45" s="37"/>
      <c r="AW45" s="37"/>
      <c r="AX45" s="37"/>
      <c r="AY45" s="37"/>
      <c r="AZ45" s="37"/>
      <c r="BA45" s="37"/>
      <c r="BB45" s="37"/>
      <c r="BC45" s="37"/>
      <c r="BD45" s="37"/>
      <c r="BE45" s="37"/>
      <c r="BF45" s="37"/>
      <c r="BG45" s="37"/>
      <c r="BH45" s="37"/>
      <c r="BI45" s="37"/>
      <c r="BJ45" s="37"/>
      <c r="BK45" s="37"/>
    </row>
    <row r="46" spans="1:63" x14ac:dyDescent="0.3">
      <c r="A46" s="37"/>
      <c r="B46" s="37"/>
      <c r="C46" s="37"/>
      <c r="D46" s="37"/>
      <c r="E46" s="37"/>
      <c r="F46" s="37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  <c r="AA46" s="37"/>
      <c r="AB46" s="37"/>
      <c r="AC46" s="37"/>
      <c r="AD46" s="37"/>
      <c r="AE46" s="37"/>
      <c r="AF46" s="37"/>
      <c r="AG46" s="37"/>
      <c r="AH46" s="37"/>
      <c r="AI46" s="37"/>
      <c r="AJ46" s="37"/>
      <c r="AK46" s="37"/>
      <c r="AL46" s="37"/>
      <c r="AM46" s="37"/>
      <c r="AN46" s="37"/>
      <c r="AO46" s="37"/>
      <c r="AP46" s="37"/>
      <c r="AQ46" s="37"/>
      <c r="AR46" s="37"/>
      <c r="AS46" s="37"/>
      <c r="AT46" s="37"/>
      <c r="AU46" s="37"/>
      <c r="AV46" s="37"/>
      <c r="AW46" s="37"/>
      <c r="AX46" s="37"/>
      <c r="AY46" s="37"/>
      <c r="AZ46" s="37"/>
      <c r="BA46" s="37"/>
      <c r="BB46" s="37"/>
      <c r="BC46" s="37"/>
      <c r="BD46" s="37"/>
      <c r="BE46" s="37"/>
      <c r="BF46" s="37"/>
      <c r="BG46" s="37"/>
      <c r="BH46" s="37"/>
      <c r="BI46" s="37"/>
      <c r="BJ46" s="37"/>
      <c r="BK46" s="37"/>
    </row>
    <row r="47" spans="1:63" x14ac:dyDescent="0.3">
      <c r="A47" s="37"/>
      <c r="B47" s="37"/>
      <c r="C47" s="37"/>
      <c r="D47" s="37"/>
      <c r="E47" s="37"/>
      <c r="F47" s="37"/>
      <c r="G47" s="37"/>
      <c r="H47" s="37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  <c r="AA47" s="37"/>
      <c r="AB47" s="37"/>
      <c r="AC47" s="37"/>
      <c r="AD47" s="37"/>
      <c r="AE47" s="37"/>
      <c r="AF47" s="37"/>
      <c r="AG47" s="37"/>
      <c r="AH47" s="37"/>
      <c r="AI47" s="37"/>
      <c r="AJ47" s="37"/>
      <c r="AK47" s="37"/>
      <c r="AL47" s="37"/>
      <c r="AM47" s="37"/>
      <c r="AN47" s="37"/>
      <c r="AO47" s="37"/>
      <c r="AP47" s="37"/>
      <c r="AQ47" s="37"/>
      <c r="AR47" s="37"/>
      <c r="AS47" s="37"/>
      <c r="AT47" s="37"/>
      <c r="AU47" s="37"/>
      <c r="AV47" s="37"/>
      <c r="AW47" s="37"/>
      <c r="AX47" s="37"/>
      <c r="AY47" s="37"/>
      <c r="AZ47" s="37"/>
      <c r="BA47" s="37"/>
      <c r="BB47" s="37"/>
      <c r="BC47" s="37"/>
      <c r="BD47" s="37"/>
      <c r="BE47" s="37"/>
      <c r="BF47" s="37"/>
      <c r="BG47" s="37"/>
      <c r="BH47" s="37"/>
      <c r="BI47" s="37"/>
      <c r="BJ47" s="37"/>
      <c r="BK47" s="37"/>
    </row>
    <row r="48" spans="1:63" x14ac:dyDescent="0.3">
      <c r="A48" s="37"/>
      <c r="B48" s="37"/>
      <c r="C48" s="37"/>
      <c r="D48" s="37"/>
      <c r="E48" s="37"/>
      <c r="F48" s="37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  <c r="AA48" s="37"/>
      <c r="AB48" s="37"/>
      <c r="AC48" s="37"/>
      <c r="AD48" s="37"/>
      <c r="AE48" s="37"/>
      <c r="AF48" s="37"/>
      <c r="AG48" s="37"/>
      <c r="AH48" s="37"/>
      <c r="AI48" s="37"/>
      <c r="AJ48" s="37"/>
      <c r="AK48" s="37"/>
      <c r="AL48" s="37"/>
      <c r="AM48" s="37"/>
      <c r="AN48" s="37"/>
      <c r="AO48" s="37"/>
      <c r="AP48" s="37"/>
      <c r="AQ48" s="37"/>
      <c r="AR48" s="37"/>
      <c r="AS48" s="37"/>
      <c r="AT48" s="37"/>
      <c r="AU48" s="37"/>
      <c r="AV48" s="37"/>
      <c r="AW48" s="37"/>
      <c r="AX48" s="37"/>
      <c r="AY48" s="37"/>
      <c r="AZ48" s="37"/>
      <c r="BA48" s="37"/>
      <c r="BB48" s="37"/>
      <c r="BC48" s="37"/>
      <c r="BD48" s="37"/>
      <c r="BE48" s="37"/>
      <c r="BF48" s="37"/>
      <c r="BG48" s="37"/>
      <c r="BH48" s="37"/>
      <c r="BI48" s="37"/>
      <c r="BJ48" s="37"/>
      <c r="BK48" s="37"/>
    </row>
    <row r="49" spans="1:4" x14ac:dyDescent="0.3">
      <c r="A49" s="37"/>
      <c r="B49" s="37"/>
      <c r="C49" s="37"/>
      <c r="D49" s="37"/>
    </row>
  </sheetData>
  <mergeCells count="1">
    <mergeCell ref="F5:H5"/>
  </mergeCells>
  <conditionalFormatting sqref="J7:AN26">
    <cfRule type="containsText" dxfId="287" priority="1" operator="containsText" text="P">
      <formula>NOT(ISERROR(SEARCH("P",J7)))</formula>
    </cfRule>
    <cfRule type="containsText" dxfId="286" priority="2" operator="containsText" text="L">
      <formula>NOT(ISERROR(SEARCH("L",J7)))</formula>
    </cfRule>
    <cfRule type="containsText" dxfId="285" priority="3" operator="containsText" text="A">
      <formula>NOT(ISERROR(SEARCH("A",J7)))</formula>
    </cfRule>
    <cfRule type="containsText" dxfId="284" priority="4" operator="containsText" text="WO">
      <formula>NOT(ISERROR(SEARCH("WO",J7)))</formula>
    </cfRule>
    <cfRule type="containsText" dxfId="283" priority="5" operator="containsText" text="WO">
      <formula>NOT(ISERROR(SEARCH("WO",J7)))</formula>
    </cfRule>
  </conditionalFormatting>
  <dataValidations count="2">
    <dataValidation type="list" allowBlank="1" showInputMessage="1" showErrorMessage="1" sqref="J7:M26 O7:T26 V7:AA26 AC7:AH26 AJ7:AN26">
      <formula1>"P,A,L"</formula1>
    </dataValidation>
    <dataValidation type="list" allowBlank="1" showInputMessage="1" showErrorMessage="1" sqref="H4">
      <formula1>#REF!</formula1>
    </dataValidation>
  </dataValidations>
  <pageMargins left="0.7" right="0.7" top="0.75" bottom="0.75" header="0.3" footer="0.3"/>
  <pageSetup orientation="portrait" r:id="rId1"/>
  <drawing r:id="rId2"/>
  <tableParts count="1">
    <tablePart r:id="rId3"/>
  </tableParts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JAN!AT7:AW7</xm:f>
              <xm:sqref>BD7</xm:sqref>
            </x14:sparkline>
            <x14:sparkline>
              <xm:f>JAN!AT8:AW8</xm:f>
              <xm:sqref>BD8</xm:sqref>
            </x14:sparkline>
            <x14:sparkline>
              <xm:f>JAN!AT9:AW9</xm:f>
              <xm:sqref>BD9</xm:sqref>
            </x14:sparkline>
            <x14:sparkline>
              <xm:f>JAN!AT10:AW10</xm:f>
              <xm:sqref>BD10</xm:sqref>
            </x14:sparkline>
            <x14:sparkline>
              <xm:f>JAN!AT11:AW11</xm:f>
              <xm:sqref>BD11</xm:sqref>
            </x14:sparkline>
            <x14:sparkline>
              <xm:f>JAN!AT12:AW12</xm:f>
              <xm:sqref>BD12</xm:sqref>
            </x14:sparkline>
            <x14:sparkline>
              <xm:f>JAN!AT13:AW13</xm:f>
              <xm:sqref>BD13</xm:sqref>
            </x14:sparkline>
            <x14:sparkline>
              <xm:f>JAN!AT14:AW14</xm:f>
              <xm:sqref>BD14</xm:sqref>
            </x14:sparkline>
            <x14:sparkline>
              <xm:f>JAN!AT15:AW15</xm:f>
              <xm:sqref>BD15</xm:sqref>
            </x14:sparkline>
            <x14:sparkline>
              <xm:f>JAN!AT16:AW16</xm:f>
              <xm:sqref>BD16</xm:sqref>
            </x14:sparkline>
            <x14:sparkline>
              <xm:f>JAN!AT17:AW17</xm:f>
              <xm:sqref>BD17</xm:sqref>
            </x14:sparkline>
            <x14:sparkline>
              <xm:f>JAN!AT18:AW18</xm:f>
              <xm:sqref>BD18</xm:sqref>
            </x14:sparkline>
            <x14:sparkline>
              <xm:f>JAN!AT19:AW19</xm:f>
              <xm:sqref>BD19</xm:sqref>
            </x14:sparkline>
            <x14:sparkline>
              <xm:f>JAN!AT20:AW20</xm:f>
              <xm:sqref>BD20</xm:sqref>
            </x14:sparkline>
            <x14:sparkline>
              <xm:f>JAN!AT21:AW21</xm:f>
              <xm:sqref>BD21</xm:sqref>
            </x14:sparkline>
            <x14:sparkline>
              <xm:f>JAN!AT22:AW22</xm:f>
              <xm:sqref>BD22</xm:sqref>
            </x14:sparkline>
            <x14:sparkline>
              <xm:f>JAN!AT23:AW23</xm:f>
              <xm:sqref>BD23</xm:sqref>
            </x14:sparkline>
            <x14:sparkline>
              <xm:f>JAN!AT24:AW24</xm:f>
              <xm:sqref>BD24</xm:sqref>
            </x14:sparkline>
            <x14:sparkline>
              <xm:f>JAN!AT25:AW25</xm:f>
              <xm:sqref>BD25</xm:sqref>
            </x14:sparkline>
            <x14:sparkline>
              <xm:f>JAN!AT26:AW26</xm:f>
              <xm:sqref>BD26</xm:sqref>
            </x14:sparkline>
          </x14:sparklines>
        </x14:sparklineGroup>
      </x14:sparklineGroup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49"/>
  <sheetViews>
    <sheetView topLeftCell="A4" zoomScaleNormal="100" workbookViewId="0">
      <selection activeCell="AS12" sqref="AS12"/>
    </sheetView>
  </sheetViews>
  <sheetFormatPr defaultColWidth="9.109375" defaultRowHeight="14.4" x14ac:dyDescent="0.3"/>
  <cols>
    <col min="1" max="6" width="9.109375" style="7"/>
    <col min="7" max="7" width="11.6640625" style="7" bestFit="1" customWidth="1"/>
    <col min="8" max="8" width="17" style="7" bestFit="1" customWidth="1"/>
    <col min="9" max="9" width="9.109375" style="7"/>
    <col min="10" max="10" width="5.33203125" style="7" bestFit="1" customWidth="1"/>
    <col min="11" max="11" width="6" style="7" customWidth="1"/>
    <col min="12" max="12" width="5" style="7" bestFit="1" customWidth="1"/>
    <col min="13" max="14" width="4.33203125" style="7" bestFit="1" customWidth="1"/>
    <col min="15" max="15" width="6.5546875" style="7" customWidth="1"/>
    <col min="16" max="16" width="4.33203125" style="7" bestFit="1" customWidth="1"/>
    <col min="17" max="17" width="5.109375" style="7" bestFit="1" customWidth="1"/>
    <col min="18" max="18" width="4.33203125" style="7" bestFit="1" customWidth="1"/>
    <col min="19" max="19" width="5" style="7" bestFit="1" customWidth="1"/>
    <col min="20" max="20" width="4.33203125" style="7" bestFit="1" customWidth="1"/>
    <col min="21" max="21" width="5.109375" style="7" bestFit="1" customWidth="1"/>
    <col min="22" max="22" width="5" style="7" bestFit="1" customWidth="1"/>
    <col min="23" max="23" width="4.33203125" style="7" bestFit="1" customWidth="1"/>
    <col min="24" max="24" width="5.109375" style="7" bestFit="1" customWidth="1"/>
    <col min="25" max="25" width="4.33203125" style="7" bestFit="1" customWidth="1"/>
    <col min="26" max="26" width="5" style="7" bestFit="1" customWidth="1"/>
    <col min="27" max="27" width="4.33203125" style="7" bestFit="1" customWidth="1"/>
    <col min="28" max="28" width="5.109375" style="7" bestFit="1" customWidth="1"/>
    <col min="29" max="29" width="5" style="7" bestFit="1" customWidth="1"/>
    <col min="30" max="30" width="4.33203125" style="7" bestFit="1" customWidth="1"/>
    <col min="31" max="31" width="5.109375" style="7" bestFit="1" customWidth="1"/>
    <col min="32" max="32" width="4.33203125" style="7" bestFit="1" customWidth="1"/>
    <col min="33" max="33" width="5" style="7" bestFit="1" customWidth="1"/>
    <col min="34" max="34" width="4.33203125" style="7" bestFit="1" customWidth="1"/>
    <col min="35" max="35" width="5.109375" style="7" bestFit="1" customWidth="1"/>
    <col min="36" max="37" width="4.33203125" style="7" bestFit="1" customWidth="1"/>
    <col min="38" max="38" width="5.109375" style="7" bestFit="1" customWidth="1"/>
    <col min="39" max="39" width="4.33203125" style="7" bestFit="1" customWidth="1"/>
    <col min="40" max="40" width="5.33203125" style="7" bestFit="1" customWidth="1"/>
    <col min="41" max="41" width="9.109375" style="7"/>
    <col min="42" max="42" width="9.33203125" style="7" bestFit="1" customWidth="1"/>
    <col min="43" max="44" width="14.33203125" style="7" customWidth="1"/>
    <col min="45" max="45" width="18" style="7" customWidth="1"/>
    <col min="46" max="46" width="10.5546875" style="7" customWidth="1"/>
    <col min="47" max="47" width="9.88671875" style="7" customWidth="1"/>
    <col min="48" max="48" width="9.33203125" style="7" bestFit="1" customWidth="1"/>
    <col min="49" max="49" width="12.109375" style="7" customWidth="1"/>
    <col min="50" max="50" width="9.33203125" style="7" bestFit="1" customWidth="1"/>
    <col min="51" max="51" width="11.88671875" style="7" customWidth="1"/>
    <col min="52" max="52" width="14.33203125" style="7" bestFit="1" customWidth="1"/>
    <col min="53" max="53" width="15.44140625" style="7" customWidth="1"/>
    <col min="54" max="54" width="12.88671875" style="7" customWidth="1"/>
    <col min="55" max="55" width="14.5546875" style="7" bestFit="1" customWidth="1"/>
    <col min="56" max="56" width="13.5546875" style="7" customWidth="1"/>
    <col min="57" max="16384" width="9.109375" style="7"/>
  </cols>
  <sheetData>
    <row r="1" spans="4:68" x14ac:dyDescent="0.3">
      <c r="AO1" s="37"/>
      <c r="BE1" s="37"/>
      <c r="BF1" s="37"/>
      <c r="BG1" s="37"/>
      <c r="BH1" s="37"/>
      <c r="BI1" s="37"/>
      <c r="BJ1" s="37"/>
      <c r="BK1" s="37"/>
    </row>
    <row r="2" spans="4:68" x14ac:dyDescent="0.3">
      <c r="AO2" s="37"/>
      <c r="BE2" s="37"/>
      <c r="BF2" s="37"/>
      <c r="BG2" s="37"/>
      <c r="BH2" s="37"/>
      <c r="BI2" s="37"/>
      <c r="BJ2" s="37"/>
      <c r="BK2" s="37"/>
    </row>
    <row r="3" spans="4:68" x14ac:dyDescent="0.3"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  <c r="AA3" s="37"/>
      <c r="AB3" s="37"/>
      <c r="AC3" s="37"/>
      <c r="AD3" s="37"/>
      <c r="AE3" s="37"/>
      <c r="AF3" s="37"/>
      <c r="AG3" s="37"/>
      <c r="AH3" s="37"/>
      <c r="AI3" s="37"/>
      <c r="AJ3" s="37"/>
      <c r="AK3" s="37"/>
      <c r="AL3" s="37"/>
      <c r="AM3" s="37"/>
      <c r="AN3" s="37"/>
      <c r="AO3" s="37"/>
      <c r="AP3" s="37"/>
      <c r="AQ3" s="37"/>
      <c r="AR3" s="37"/>
      <c r="AS3" s="37"/>
      <c r="AT3" s="37"/>
      <c r="AU3" s="37"/>
      <c r="AV3" s="37"/>
      <c r="AW3" s="37"/>
      <c r="AX3" s="37"/>
      <c r="AY3" s="37"/>
      <c r="AZ3" s="37"/>
      <c r="BA3" s="37"/>
      <c r="BB3" s="37"/>
      <c r="BC3" s="37"/>
      <c r="BD3" s="37"/>
      <c r="BE3" s="37"/>
      <c r="BF3" s="37"/>
      <c r="BG3" s="37"/>
      <c r="BH3" s="37"/>
      <c r="BI3" s="37"/>
      <c r="BJ3" s="37"/>
      <c r="BK3" s="37"/>
      <c r="BL3" s="37"/>
      <c r="BM3" s="37"/>
      <c r="BN3" s="37"/>
      <c r="BO3" s="37"/>
      <c r="BP3" s="37"/>
    </row>
    <row r="4" spans="4:68" ht="15" thickBot="1" x14ac:dyDescent="0.35">
      <c r="D4" s="37"/>
      <c r="E4" s="41"/>
      <c r="F4" s="41"/>
      <c r="G4" s="42" t="s">
        <v>26</v>
      </c>
      <c r="H4" s="43">
        <v>45689</v>
      </c>
      <c r="I4" s="42"/>
      <c r="J4" s="42" t="s">
        <v>27</v>
      </c>
      <c r="K4" s="43">
        <f>EOMONTH(H4,0)</f>
        <v>45716</v>
      </c>
      <c r="L4" s="42"/>
      <c r="M4" s="42"/>
      <c r="N4" s="42">
        <f>(DATEDIF($H$4,$K$4,"D"))+1</f>
        <v>28</v>
      </c>
      <c r="O4" s="44" t="str">
        <f>TEXT(H4,"MMMM")</f>
        <v>February</v>
      </c>
      <c r="P4" s="42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41"/>
      <c r="AC4" s="41"/>
      <c r="AD4" s="41"/>
      <c r="AE4" s="41"/>
      <c r="AF4" s="41"/>
      <c r="AG4" s="41"/>
      <c r="AH4" s="41"/>
      <c r="AI4" s="41"/>
      <c r="AJ4" s="41"/>
      <c r="AK4" s="41"/>
      <c r="AL4" s="41"/>
      <c r="AM4" s="41"/>
      <c r="AN4" s="41"/>
      <c r="AO4" s="37"/>
      <c r="AP4" s="37"/>
      <c r="AQ4" s="37"/>
      <c r="AR4" s="37"/>
      <c r="AS4" s="37"/>
      <c r="AT4" s="37"/>
      <c r="AU4" s="37"/>
      <c r="AV4" s="38"/>
      <c r="AW4" s="37"/>
      <c r="AX4" s="37"/>
      <c r="AY4" s="37"/>
      <c r="AZ4" s="37"/>
      <c r="BA4" s="37"/>
      <c r="BB4" s="37"/>
      <c r="BC4" s="37"/>
      <c r="BD4" s="37"/>
      <c r="BE4" s="37"/>
      <c r="BF4" s="37"/>
      <c r="BG4" s="37"/>
      <c r="BH4" s="37"/>
      <c r="BI4" s="37"/>
      <c r="BJ4" s="37"/>
      <c r="BK4" s="37"/>
      <c r="BL4" s="37"/>
      <c r="BM4" s="37"/>
      <c r="BN4" s="37"/>
      <c r="BO4" s="37"/>
      <c r="BP4" s="37"/>
    </row>
    <row r="5" spans="4:68" ht="15" thickBot="1" x14ac:dyDescent="0.35">
      <c r="D5" s="37"/>
      <c r="E5" s="41"/>
      <c r="F5" s="88" t="s">
        <v>40</v>
      </c>
      <c r="G5" s="89"/>
      <c r="H5" s="89"/>
      <c r="I5" s="8" t="s">
        <v>29</v>
      </c>
      <c r="J5" s="8" t="str">
        <f>TEXT(J6,"DDD")</f>
        <v>Sat</v>
      </c>
      <c r="K5" s="8" t="str">
        <f t="shared" ref="K5:AN5" si="0">TEXT(K6,"DDD")</f>
        <v>Sun</v>
      </c>
      <c r="L5" s="8" t="str">
        <f t="shared" si="0"/>
        <v>Mon</v>
      </c>
      <c r="M5" s="8" t="str">
        <f t="shared" si="0"/>
        <v>Tue</v>
      </c>
      <c r="N5" s="8" t="str">
        <f t="shared" si="0"/>
        <v>Wed</v>
      </c>
      <c r="O5" s="8" t="str">
        <f t="shared" si="0"/>
        <v>Thu</v>
      </c>
      <c r="P5" s="8" t="str">
        <f t="shared" si="0"/>
        <v>Fri</v>
      </c>
      <c r="Q5" s="8" t="str">
        <f t="shared" si="0"/>
        <v>Sat</v>
      </c>
      <c r="R5" s="8" t="str">
        <f t="shared" si="0"/>
        <v>Sun</v>
      </c>
      <c r="S5" s="8" t="str">
        <f t="shared" si="0"/>
        <v>Mon</v>
      </c>
      <c r="T5" s="8" t="str">
        <f t="shared" si="0"/>
        <v>Tue</v>
      </c>
      <c r="U5" s="8" t="str">
        <f t="shared" si="0"/>
        <v>Wed</v>
      </c>
      <c r="V5" s="8" t="str">
        <f t="shared" si="0"/>
        <v>Thu</v>
      </c>
      <c r="W5" s="8" t="str">
        <f t="shared" si="0"/>
        <v>Fri</v>
      </c>
      <c r="X5" s="8" t="str">
        <f t="shared" si="0"/>
        <v>Sat</v>
      </c>
      <c r="Y5" s="8" t="str">
        <f t="shared" si="0"/>
        <v>Sun</v>
      </c>
      <c r="Z5" s="8" t="str">
        <f t="shared" si="0"/>
        <v>Mon</v>
      </c>
      <c r="AA5" s="8" t="str">
        <f t="shared" si="0"/>
        <v>Tue</v>
      </c>
      <c r="AB5" s="8" t="str">
        <f t="shared" si="0"/>
        <v>Wed</v>
      </c>
      <c r="AC5" s="8" t="str">
        <f t="shared" si="0"/>
        <v>Thu</v>
      </c>
      <c r="AD5" s="8" t="str">
        <f t="shared" si="0"/>
        <v>Fri</v>
      </c>
      <c r="AE5" s="8" t="str">
        <f t="shared" si="0"/>
        <v>Sat</v>
      </c>
      <c r="AF5" s="8" t="str">
        <f t="shared" si="0"/>
        <v>Sun</v>
      </c>
      <c r="AG5" s="8" t="str">
        <f t="shared" si="0"/>
        <v>Mon</v>
      </c>
      <c r="AH5" s="8" t="str">
        <f t="shared" si="0"/>
        <v>Tue</v>
      </c>
      <c r="AI5" s="8" t="str">
        <f t="shared" si="0"/>
        <v>Wed</v>
      </c>
      <c r="AJ5" s="8" t="str">
        <f t="shared" si="0"/>
        <v>Thu</v>
      </c>
      <c r="AK5" s="8" t="str">
        <f t="shared" si="0"/>
        <v>Fri</v>
      </c>
      <c r="AL5" s="8" t="str">
        <f t="shared" si="0"/>
        <v/>
      </c>
      <c r="AM5" s="8" t="str">
        <f t="shared" si="0"/>
        <v/>
      </c>
      <c r="AN5" s="9" t="str">
        <f t="shared" si="0"/>
        <v/>
      </c>
      <c r="AO5" s="39"/>
      <c r="AP5" s="39"/>
      <c r="AQ5" s="39"/>
      <c r="AR5" s="39"/>
      <c r="AS5" s="39"/>
      <c r="AT5" s="39"/>
      <c r="AU5" s="39"/>
      <c r="AV5" s="39"/>
      <c r="AW5" s="39"/>
      <c r="AX5" s="39"/>
      <c r="AY5" s="39"/>
      <c r="AZ5" s="39"/>
      <c r="BA5" s="39"/>
      <c r="BB5" s="39"/>
      <c r="BC5" s="39"/>
      <c r="BD5" s="39"/>
      <c r="BE5" s="39"/>
      <c r="BF5" s="37"/>
      <c r="BG5" s="37"/>
      <c r="BH5" s="37"/>
      <c r="BI5" s="37"/>
      <c r="BJ5" s="37"/>
      <c r="BK5" s="37"/>
    </row>
    <row r="6" spans="4:68" ht="18.600000000000001" thickBot="1" x14ac:dyDescent="0.35">
      <c r="D6" s="37"/>
      <c r="E6" s="41"/>
      <c r="F6" s="10" t="s">
        <v>24</v>
      </c>
      <c r="G6" s="11" t="s">
        <v>23</v>
      </c>
      <c r="H6" s="12" t="s">
        <v>25</v>
      </c>
      <c r="I6" s="75" t="s">
        <v>28</v>
      </c>
      <c r="J6" s="76">
        <f>H4</f>
        <v>45689</v>
      </c>
      <c r="K6" s="76">
        <f>IF(J6&lt;$K$4,J6+1,"")</f>
        <v>45690</v>
      </c>
      <c r="L6" s="76">
        <f t="shared" ref="L6:AL6" si="1">IF(K6&lt;$K$4,K6+1,"")</f>
        <v>45691</v>
      </c>
      <c r="M6" s="76">
        <f t="shared" si="1"/>
        <v>45692</v>
      </c>
      <c r="N6" s="76">
        <f t="shared" si="1"/>
        <v>45693</v>
      </c>
      <c r="O6" s="76">
        <f t="shared" si="1"/>
        <v>45694</v>
      </c>
      <c r="P6" s="76">
        <f t="shared" si="1"/>
        <v>45695</v>
      </c>
      <c r="Q6" s="76">
        <f t="shared" si="1"/>
        <v>45696</v>
      </c>
      <c r="R6" s="76">
        <f t="shared" si="1"/>
        <v>45697</v>
      </c>
      <c r="S6" s="76">
        <f t="shared" si="1"/>
        <v>45698</v>
      </c>
      <c r="T6" s="76">
        <f t="shared" si="1"/>
        <v>45699</v>
      </c>
      <c r="U6" s="76">
        <f t="shared" si="1"/>
        <v>45700</v>
      </c>
      <c r="V6" s="76">
        <f t="shared" si="1"/>
        <v>45701</v>
      </c>
      <c r="W6" s="76">
        <f t="shared" si="1"/>
        <v>45702</v>
      </c>
      <c r="X6" s="76">
        <f t="shared" si="1"/>
        <v>45703</v>
      </c>
      <c r="Y6" s="76">
        <f t="shared" si="1"/>
        <v>45704</v>
      </c>
      <c r="Z6" s="76">
        <f t="shared" si="1"/>
        <v>45705</v>
      </c>
      <c r="AA6" s="76">
        <f t="shared" si="1"/>
        <v>45706</v>
      </c>
      <c r="AB6" s="76">
        <f t="shared" si="1"/>
        <v>45707</v>
      </c>
      <c r="AC6" s="76">
        <f t="shared" si="1"/>
        <v>45708</v>
      </c>
      <c r="AD6" s="76">
        <f t="shared" si="1"/>
        <v>45709</v>
      </c>
      <c r="AE6" s="76">
        <f t="shared" si="1"/>
        <v>45710</v>
      </c>
      <c r="AF6" s="76">
        <f t="shared" si="1"/>
        <v>45711</v>
      </c>
      <c r="AG6" s="76">
        <f t="shared" si="1"/>
        <v>45712</v>
      </c>
      <c r="AH6" s="76">
        <f t="shared" si="1"/>
        <v>45713</v>
      </c>
      <c r="AI6" s="76">
        <f t="shared" si="1"/>
        <v>45714</v>
      </c>
      <c r="AJ6" s="76">
        <f t="shared" si="1"/>
        <v>45715</v>
      </c>
      <c r="AK6" s="76">
        <f t="shared" si="1"/>
        <v>45716</v>
      </c>
      <c r="AL6" s="76" t="str">
        <f t="shared" si="1"/>
        <v/>
      </c>
      <c r="AM6" s="76" t="str">
        <f t="shared" ref="AM6:AN6" si="2">IF(AL6&lt;=$K$4,AL6+1,"")</f>
        <v/>
      </c>
      <c r="AN6" s="77" t="str">
        <f t="shared" si="2"/>
        <v/>
      </c>
      <c r="AO6" s="40"/>
      <c r="AP6" s="34" t="s">
        <v>24</v>
      </c>
      <c r="AQ6" s="35" t="s">
        <v>23</v>
      </c>
      <c r="AR6" s="35" t="s">
        <v>41</v>
      </c>
      <c r="AS6" s="35" t="s">
        <v>25</v>
      </c>
      <c r="AT6" s="35" t="s">
        <v>30</v>
      </c>
      <c r="AU6" s="35" t="s">
        <v>31</v>
      </c>
      <c r="AV6" s="35" t="s">
        <v>32</v>
      </c>
      <c r="AW6" s="35" t="s">
        <v>38</v>
      </c>
      <c r="AX6" s="35" t="s">
        <v>29</v>
      </c>
      <c r="AY6" s="35" t="s">
        <v>33</v>
      </c>
      <c r="AZ6" s="35" t="s">
        <v>34</v>
      </c>
      <c r="BA6" s="35" t="s">
        <v>35</v>
      </c>
      <c r="BB6" s="35" t="s">
        <v>36</v>
      </c>
      <c r="BC6" s="35" t="s">
        <v>37</v>
      </c>
      <c r="BD6" s="36" t="s">
        <v>39</v>
      </c>
      <c r="BE6" s="39"/>
      <c r="BF6" s="37"/>
      <c r="BG6" s="37"/>
      <c r="BH6" s="37"/>
      <c r="BI6" s="37"/>
      <c r="BJ6" s="37"/>
      <c r="BK6" s="37"/>
    </row>
    <row r="7" spans="4:68" ht="15.6" x14ac:dyDescent="0.3">
      <c r="D7" s="37"/>
      <c r="E7" s="41"/>
      <c r="F7" s="16">
        <v>1</v>
      </c>
      <c r="G7" s="17">
        <v>1001</v>
      </c>
      <c r="H7" s="18" t="s">
        <v>3</v>
      </c>
      <c r="I7" s="60">
        <f>COUNTIF($J$5:$AN$5,"SUN")</f>
        <v>4</v>
      </c>
      <c r="J7" s="63" t="s">
        <v>42</v>
      </c>
      <c r="K7" s="63" t="str">
        <f t="shared" ref="K7:AF15" si="3">IF(K$5="Sun","WO","")</f>
        <v>WO</v>
      </c>
      <c r="L7" s="63" t="s">
        <v>42</v>
      </c>
      <c r="M7" s="63" t="s">
        <v>42</v>
      </c>
      <c r="N7" s="63" t="s">
        <v>44</v>
      </c>
      <c r="O7" s="63" t="s">
        <v>42</v>
      </c>
      <c r="P7" s="63" t="s">
        <v>42</v>
      </c>
      <c r="Q7" s="63" t="s">
        <v>42</v>
      </c>
      <c r="R7" s="63" t="str">
        <f t="shared" si="3"/>
        <v>WO</v>
      </c>
      <c r="S7" s="63" t="s">
        <v>42</v>
      </c>
      <c r="T7" s="63" t="s">
        <v>42</v>
      </c>
      <c r="U7" s="63" t="s">
        <v>42</v>
      </c>
      <c r="V7" s="63" t="s">
        <v>42</v>
      </c>
      <c r="W7" s="63" t="s">
        <v>44</v>
      </c>
      <c r="X7" s="63" t="s">
        <v>42</v>
      </c>
      <c r="Y7" s="63" t="str">
        <f t="shared" si="3"/>
        <v>WO</v>
      </c>
      <c r="Z7" s="63" t="s">
        <v>42</v>
      </c>
      <c r="AA7" s="63" t="s">
        <v>42</v>
      </c>
      <c r="AB7" s="63" t="s">
        <v>42</v>
      </c>
      <c r="AC7" s="63" t="s">
        <v>42</v>
      </c>
      <c r="AD7" s="63" t="s">
        <v>42</v>
      </c>
      <c r="AE7" s="63" t="s">
        <v>42</v>
      </c>
      <c r="AF7" s="63" t="str">
        <f t="shared" si="3"/>
        <v>WO</v>
      </c>
      <c r="AG7" s="63" t="s">
        <v>42</v>
      </c>
      <c r="AH7" s="63" t="s">
        <v>42</v>
      </c>
      <c r="AI7" s="63" t="s">
        <v>42</v>
      </c>
      <c r="AJ7" s="63" t="s">
        <v>42</v>
      </c>
      <c r="AK7" s="63" t="s">
        <v>43</v>
      </c>
      <c r="AL7" s="63"/>
      <c r="AM7" s="63"/>
      <c r="AN7" s="72"/>
      <c r="AO7" s="39"/>
      <c r="AP7" s="28">
        <v>1</v>
      </c>
      <c r="AQ7" s="21">
        <v>1001</v>
      </c>
      <c r="AR7" s="33" t="str">
        <f t="shared" ref="AR7:AR26" si="4">$O$4</f>
        <v>February</v>
      </c>
      <c r="AS7" s="21" t="s">
        <v>3</v>
      </c>
      <c r="AT7" s="29">
        <f t="shared" ref="AT7:AT26" si="5">COUNTIF($J7:$AN7,"P")</f>
        <v>21</v>
      </c>
      <c r="AU7" s="29">
        <f t="shared" ref="AU7:AU26" si="6">COUNTIF($J7:$AN7,"A")</f>
        <v>1</v>
      </c>
      <c r="AV7" s="29">
        <f t="shared" ref="AV7:AV26" si="7">COUNTIF($J7:$AN7,"L")</f>
        <v>2</v>
      </c>
      <c r="AW7" s="29">
        <f t="shared" ref="AW7:AW26" si="8">I7</f>
        <v>4</v>
      </c>
      <c r="AX7" s="30">
        <f>$N$4</f>
        <v>28</v>
      </c>
      <c r="AY7" s="29">
        <f>FEBReport[[#This Row],[Days]]-FEBReport[[#This Row],[Adsent]]</f>
        <v>27</v>
      </c>
      <c r="AZ7" s="31">
        <v>10000</v>
      </c>
      <c r="BA7" s="32">
        <f>FEBReport[[#This Row],[Salary]]/FEBReport[[#This Row],[Days]]</f>
        <v>357.14285714285717</v>
      </c>
      <c r="BB7" s="31">
        <f>FEBReport[[#This Row],[Perday salary]]*FEBReport[[#This Row],[Adsent]]</f>
        <v>357.14285714285717</v>
      </c>
      <c r="BC7" s="31">
        <f>FEBReport[[#This Row],[Salary]]-FEBReport[[#This Row],[Detuction ]]</f>
        <v>9642.8571428571431</v>
      </c>
      <c r="BD7" s="29"/>
      <c r="BE7" s="39"/>
      <c r="BF7" s="37"/>
      <c r="BG7" s="37"/>
      <c r="BH7" s="37"/>
      <c r="BI7" s="37"/>
      <c r="BJ7" s="37"/>
      <c r="BK7" s="37"/>
    </row>
    <row r="8" spans="4:68" ht="15.6" x14ac:dyDescent="0.3">
      <c r="D8" s="37"/>
      <c r="E8" s="41"/>
      <c r="F8" s="20">
        <v>2</v>
      </c>
      <c r="G8" s="21">
        <v>1002</v>
      </c>
      <c r="H8" s="22" t="s">
        <v>4</v>
      </c>
      <c r="I8" s="61">
        <f t="shared" ref="I8:I26" si="9">COUNTIF($J$5:$AN$5,"SUN")</f>
        <v>4</v>
      </c>
      <c r="J8" s="64" t="s">
        <v>42</v>
      </c>
      <c r="K8" s="64" t="str">
        <f t="shared" si="3"/>
        <v>WO</v>
      </c>
      <c r="L8" s="64" t="s">
        <v>42</v>
      </c>
      <c r="M8" s="64" t="s">
        <v>42</v>
      </c>
      <c r="N8" s="64" t="s">
        <v>44</v>
      </c>
      <c r="O8" s="64" t="s">
        <v>42</v>
      </c>
      <c r="P8" s="64" t="s">
        <v>42</v>
      </c>
      <c r="Q8" s="64" t="s">
        <v>42</v>
      </c>
      <c r="R8" s="64" t="str">
        <f t="shared" si="3"/>
        <v>WO</v>
      </c>
      <c r="S8" s="64" t="s">
        <v>42</v>
      </c>
      <c r="T8" s="64" t="s">
        <v>42</v>
      </c>
      <c r="U8" s="64" t="s">
        <v>42</v>
      </c>
      <c r="V8" s="64" t="s">
        <v>42</v>
      </c>
      <c r="W8" s="64" t="s">
        <v>44</v>
      </c>
      <c r="X8" s="64" t="s">
        <v>42</v>
      </c>
      <c r="Y8" s="64" t="str">
        <f t="shared" si="3"/>
        <v>WO</v>
      </c>
      <c r="Z8" s="64" t="s">
        <v>42</v>
      </c>
      <c r="AA8" s="64" t="s">
        <v>42</v>
      </c>
      <c r="AB8" s="64" t="s">
        <v>42</v>
      </c>
      <c r="AC8" s="64" t="s">
        <v>42</v>
      </c>
      <c r="AD8" s="64" t="s">
        <v>42</v>
      </c>
      <c r="AE8" s="64" t="s">
        <v>42</v>
      </c>
      <c r="AF8" s="64" t="str">
        <f t="shared" si="3"/>
        <v>WO</v>
      </c>
      <c r="AG8" s="64" t="s">
        <v>42</v>
      </c>
      <c r="AH8" s="64" t="s">
        <v>42</v>
      </c>
      <c r="AI8" s="64" t="s">
        <v>42</v>
      </c>
      <c r="AJ8" s="64" t="s">
        <v>42</v>
      </c>
      <c r="AK8" s="64" t="s">
        <v>42</v>
      </c>
      <c r="AL8" s="64"/>
      <c r="AM8" s="64"/>
      <c r="AN8" s="73"/>
      <c r="AO8" s="39"/>
      <c r="AP8" s="28">
        <v>2</v>
      </c>
      <c r="AQ8" s="21">
        <v>1002</v>
      </c>
      <c r="AR8" s="33" t="str">
        <f t="shared" si="4"/>
        <v>February</v>
      </c>
      <c r="AS8" s="21" t="s">
        <v>4</v>
      </c>
      <c r="AT8" s="29">
        <f t="shared" si="5"/>
        <v>22</v>
      </c>
      <c r="AU8" s="29">
        <f t="shared" si="6"/>
        <v>0</v>
      </c>
      <c r="AV8" s="29">
        <f t="shared" si="7"/>
        <v>2</v>
      </c>
      <c r="AW8" s="29">
        <f t="shared" si="8"/>
        <v>4</v>
      </c>
      <c r="AX8" s="30">
        <f t="shared" ref="AX8:AX26" si="10">$N$4</f>
        <v>28</v>
      </c>
      <c r="AY8" s="29">
        <f>FEBReport[[#This Row],[Days]]-FEBReport[[#This Row],[Adsent]]</f>
        <v>28</v>
      </c>
      <c r="AZ8" s="31">
        <v>20000</v>
      </c>
      <c r="BA8" s="32">
        <f>FEBReport[[#This Row],[Salary]]/FEBReport[[#This Row],[Days]]</f>
        <v>714.28571428571433</v>
      </c>
      <c r="BB8" s="31">
        <f>FEBReport[[#This Row],[Perday salary]]*FEBReport[[#This Row],[Adsent]]</f>
        <v>0</v>
      </c>
      <c r="BC8" s="31">
        <f>FEBReport[[#This Row],[Salary]]-FEBReport[[#This Row],[Detuction ]]</f>
        <v>20000</v>
      </c>
      <c r="BD8" s="29"/>
      <c r="BE8" s="39"/>
      <c r="BF8" s="37"/>
      <c r="BG8" s="37"/>
      <c r="BH8" s="37"/>
      <c r="BI8" s="37"/>
      <c r="BJ8" s="37"/>
      <c r="BK8" s="37"/>
    </row>
    <row r="9" spans="4:68" ht="15.6" x14ac:dyDescent="0.3">
      <c r="D9" s="37"/>
      <c r="E9" s="41"/>
      <c r="F9" s="20">
        <v>3</v>
      </c>
      <c r="G9" s="21">
        <v>1003</v>
      </c>
      <c r="H9" s="22" t="s">
        <v>5</v>
      </c>
      <c r="I9" s="61">
        <f t="shared" si="9"/>
        <v>4</v>
      </c>
      <c r="J9" s="64" t="s">
        <v>42</v>
      </c>
      <c r="K9" s="64" t="str">
        <f t="shared" si="3"/>
        <v>WO</v>
      </c>
      <c r="L9" s="64" t="s">
        <v>42</v>
      </c>
      <c r="M9" s="64" t="s">
        <v>42</v>
      </c>
      <c r="N9" s="64" t="s">
        <v>44</v>
      </c>
      <c r="O9" s="64" t="s">
        <v>42</v>
      </c>
      <c r="P9" s="64" t="s">
        <v>42</v>
      </c>
      <c r="Q9" s="64" t="s">
        <v>42</v>
      </c>
      <c r="R9" s="64" t="str">
        <f t="shared" si="3"/>
        <v>WO</v>
      </c>
      <c r="S9" s="64" t="s">
        <v>42</v>
      </c>
      <c r="T9" s="64" t="s">
        <v>42</v>
      </c>
      <c r="U9" s="64" t="s">
        <v>43</v>
      </c>
      <c r="V9" s="64" t="s">
        <v>42</v>
      </c>
      <c r="W9" s="64" t="s">
        <v>44</v>
      </c>
      <c r="X9" s="64" t="s">
        <v>42</v>
      </c>
      <c r="Y9" s="64" t="str">
        <f t="shared" si="3"/>
        <v>WO</v>
      </c>
      <c r="Z9" s="64" t="s">
        <v>42</v>
      </c>
      <c r="AA9" s="64" t="s">
        <v>42</v>
      </c>
      <c r="AB9" s="64" t="s">
        <v>42</v>
      </c>
      <c r="AC9" s="64" t="s">
        <v>43</v>
      </c>
      <c r="AD9" s="64" t="s">
        <v>42</v>
      </c>
      <c r="AE9" s="64" t="s">
        <v>42</v>
      </c>
      <c r="AF9" s="64" t="str">
        <f t="shared" si="3"/>
        <v>WO</v>
      </c>
      <c r="AG9" s="64" t="s">
        <v>42</v>
      </c>
      <c r="AH9" s="64" t="s">
        <v>43</v>
      </c>
      <c r="AI9" s="64" t="s">
        <v>42</v>
      </c>
      <c r="AJ9" s="64" t="s">
        <v>42</v>
      </c>
      <c r="AK9" s="64" t="s">
        <v>42</v>
      </c>
      <c r="AL9" s="64"/>
      <c r="AM9" s="64"/>
      <c r="AN9" s="73"/>
      <c r="AO9" s="39"/>
      <c r="AP9" s="28">
        <v>3</v>
      </c>
      <c r="AQ9" s="21">
        <v>1003</v>
      </c>
      <c r="AR9" s="33" t="str">
        <f t="shared" si="4"/>
        <v>February</v>
      </c>
      <c r="AS9" s="21" t="s">
        <v>5</v>
      </c>
      <c r="AT9" s="29">
        <f t="shared" si="5"/>
        <v>19</v>
      </c>
      <c r="AU9" s="29">
        <f t="shared" si="6"/>
        <v>3</v>
      </c>
      <c r="AV9" s="29">
        <f t="shared" si="7"/>
        <v>2</v>
      </c>
      <c r="AW9" s="29">
        <f t="shared" si="8"/>
        <v>4</v>
      </c>
      <c r="AX9" s="30">
        <f t="shared" si="10"/>
        <v>28</v>
      </c>
      <c r="AY9" s="29">
        <f>FEBReport[[#This Row],[Days]]-FEBReport[[#This Row],[Adsent]]</f>
        <v>25</v>
      </c>
      <c r="AZ9" s="31">
        <v>25000</v>
      </c>
      <c r="BA9" s="32">
        <f>FEBReport[[#This Row],[Salary]]/FEBReport[[#This Row],[Days]]</f>
        <v>892.85714285714289</v>
      </c>
      <c r="BB9" s="31">
        <f>FEBReport[[#This Row],[Perday salary]]*FEBReport[[#This Row],[Adsent]]</f>
        <v>2678.5714285714284</v>
      </c>
      <c r="BC9" s="31">
        <f>FEBReport[[#This Row],[Salary]]-FEBReport[[#This Row],[Detuction ]]</f>
        <v>22321.428571428572</v>
      </c>
      <c r="BD9" s="29"/>
      <c r="BE9" s="39"/>
      <c r="BF9" s="37"/>
      <c r="BG9" s="37"/>
      <c r="BH9" s="37"/>
      <c r="BI9" s="37"/>
      <c r="BJ9" s="37"/>
      <c r="BK9" s="37"/>
    </row>
    <row r="10" spans="4:68" ht="15.6" x14ac:dyDescent="0.3">
      <c r="D10" s="37"/>
      <c r="E10" s="41"/>
      <c r="F10" s="20">
        <v>4</v>
      </c>
      <c r="G10" s="21">
        <v>1004</v>
      </c>
      <c r="H10" s="22" t="s">
        <v>6</v>
      </c>
      <c r="I10" s="61">
        <f t="shared" si="9"/>
        <v>4</v>
      </c>
      <c r="J10" s="64" t="s">
        <v>42</v>
      </c>
      <c r="K10" s="64" t="str">
        <f t="shared" si="3"/>
        <v>WO</v>
      </c>
      <c r="L10" s="64" t="s">
        <v>42</v>
      </c>
      <c r="M10" s="64" t="s">
        <v>42</v>
      </c>
      <c r="N10" s="64" t="s">
        <v>44</v>
      </c>
      <c r="O10" s="64" t="s">
        <v>42</v>
      </c>
      <c r="P10" s="64" t="s">
        <v>42</v>
      </c>
      <c r="Q10" s="64" t="s">
        <v>42</v>
      </c>
      <c r="R10" s="64" t="str">
        <f t="shared" si="3"/>
        <v>WO</v>
      </c>
      <c r="S10" s="64" t="s">
        <v>42</v>
      </c>
      <c r="T10" s="64" t="s">
        <v>42</v>
      </c>
      <c r="U10" s="64" t="s">
        <v>42</v>
      </c>
      <c r="V10" s="64" t="s">
        <v>42</v>
      </c>
      <c r="W10" s="64" t="s">
        <v>44</v>
      </c>
      <c r="X10" s="64" t="s">
        <v>42</v>
      </c>
      <c r="Y10" s="64" t="str">
        <f t="shared" si="3"/>
        <v>WO</v>
      </c>
      <c r="Z10" s="64" t="s">
        <v>42</v>
      </c>
      <c r="AA10" s="64" t="s">
        <v>42</v>
      </c>
      <c r="AB10" s="64" t="s">
        <v>42</v>
      </c>
      <c r="AC10" s="64" t="s">
        <v>42</v>
      </c>
      <c r="AD10" s="64" t="s">
        <v>42</v>
      </c>
      <c r="AE10" s="64" t="s">
        <v>42</v>
      </c>
      <c r="AF10" s="64" t="str">
        <f t="shared" si="3"/>
        <v>WO</v>
      </c>
      <c r="AG10" s="64" t="s">
        <v>42</v>
      </c>
      <c r="AH10" s="64" t="s">
        <v>42</v>
      </c>
      <c r="AI10" s="64" t="s">
        <v>42</v>
      </c>
      <c r="AJ10" s="64" t="s">
        <v>42</v>
      </c>
      <c r="AK10" s="64" t="s">
        <v>42</v>
      </c>
      <c r="AL10" s="64"/>
      <c r="AM10" s="64"/>
      <c r="AN10" s="73"/>
      <c r="AO10" s="39"/>
      <c r="AP10" s="28">
        <v>4</v>
      </c>
      <c r="AQ10" s="21">
        <v>1004</v>
      </c>
      <c r="AR10" s="33" t="str">
        <f t="shared" si="4"/>
        <v>February</v>
      </c>
      <c r="AS10" s="21" t="s">
        <v>6</v>
      </c>
      <c r="AT10" s="29">
        <f t="shared" si="5"/>
        <v>22</v>
      </c>
      <c r="AU10" s="29">
        <f t="shared" si="6"/>
        <v>0</v>
      </c>
      <c r="AV10" s="29">
        <f t="shared" si="7"/>
        <v>2</v>
      </c>
      <c r="AW10" s="29">
        <f t="shared" si="8"/>
        <v>4</v>
      </c>
      <c r="AX10" s="30">
        <f t="shared" si="10"/>
        <v>28</v>
      </c>
      <c r="AY10" s="29">
        <f>FEBReport[[#This Row],[Days]]-FEBReport[[#This Row],[Adsent]]</f>
        <v>28</v>
      </c>
      <c r="AZ10" s="31">
        <v>30000</v>
      </c>
      <c r="BA10" s="32">
        <f>FEBReport[[#This Row],[Salary]]/FEBReport[[#This Row],[Days]]</f>
        <v>1071.4285714285713</v>
      </c>
      <c r="BB10" s="31">
        <f>FEBReport[[#This Row],[Perday salary]]*FEBReport[[#This Row],[Adsent]]</f>
        <v>0</v>
      </c>
      <c r="BC10" s="31">
        <f>FEBReport[[#This Row],[Salary]]-FEBReport[[#This Row],[Detuction ]]</f>
        <v>30000</v>
      </c>
      <c r="BD10" s="29"/>
      <c r="BE10" s="39"/>
      <c r="BF10" s="37"/>
      <c r="BG10" s="37"/>
      <c r="BH10" s="37"/>
      <c r="BI10" s="37"/>
      <c r="BJ10" s="37"/>
      <c r="BK10" s="37"/>
    </row>
    <row r="11" spans="4:68" ht="15.6" x14ac:dyDescent="0.3">
      <c r="D11" s="37"/>
      <c r="E11" s="41"/>
      <c r="F11" s="20">
        <v>5</v>
      </c>
      <c r="G11" s="21">
        <v>1005</v>
      </c>
      <c r="H11" s="22" t="s">
        <v>7</v>
      </c>
      <c r="I11" s="61">
        <f t="shared" si="9"/>
        <v>4</v>
      </c>
      <c r="J11" s="64" t="s">
        <v>42</v>
      </c>
      <c r="K11" s="64" t="str">
        <f t="shared" si="3"/>
        <v>WO</v>
      </c>
      <c r="L11" s="64" t="s">
        <v>42</v>
      </c>
      <c r="M11" s="64" t="s">
        <v>42</v>
      </c>
      <c r="N11" s="64" t="s">
        <v>44</v>
      </c>
      <c r="O11" s="64" t="s">
        <v>42</v>
      </c>
      <c r="P11" s="64" t="s">
        <v>42</v>
      </c>
      <c r="Q11" s="64" t="s">
        <v>42</v>
      </c>
      <c r="R11" s="64" t="str">
        <f t="shared" si="3"/>
        <v>WO</v>
      </c>
      <c r="S11" s="64" t="s">
        <v>42</v>
      </c>
      <c r="T11" s="64" t="s">
        <v>42</v>
      </c>
      <c r="U11" s="64" t="s">
        <v>42</v>
      </c>
      <c r="V11" s="64" t="s">
        <v>42</v>
      </c>
      <c r="W11" s="64" t="s">
        <v>44</v>
      </c>
      <c r="X11" s="64" t="s">
        <v>42</v>
      </c>
      <c r="Y11" s="64" t="str">
        <f t="shared" si="3"/>
        <v>WO</v>
      </c>
      <c r="Z11" s="64" t="s">
        <v>42</v>
      </c>
      <c r="AA11" s="64" t="s">
        <v>42</v>
      </c>
      <c r="AB11" s="64" t="s">
        <v>42</v>
      </c>
      <c r="AC11" s="64" t="s">
        <v>42</v>
      </c>
      <c r="AD11" s="64" t="s">
        <v>42</v>
      </c>
      <c r="AE11" s="64" t="s">
        <v>42</v>
      </c>
      <c r="AF11" s="64" t="str">
        <f t="shared" si="3"/>
        <v>WO</v>
      </c>
      <c r="AG11" s="64" t="s">
        <v>42</v>
      </c>
      <c r="AH11" s="64" t="s">
        <v>42</v>
      </c>
      <c r="AI11" s="64" t="s">
        <v>42</v>
      </c>
      <c r="AJ11" s="64" t="s">
        <v>42</v>
      </c>
      <c r="AK11" s="64" t="s">
        <v>42</v>
      </c>
      <c r="AL11" s="64"/>
      <c r="AM11" s="64"/>
      <c r="AN11" s="73"/>
      <c r="AO11" s="39"/>
      <c r="AP11" s="28">
        <v>5</v>
      </c>
      <c r="AQ11" s="21">
        <v>1005</v>
      </c>
      <c r="AR11" s="33" t="str">
        <f t="shared" si="4"/>
        <v>February</v>
      </c>
      <c r="AS11" s="21" t="s">
        <v>7</v>
      </c>
      <c r="AT11" s="29">
        <f t="shared" si="5"/>
        <v>22</v>
      </c>
      <c r="AU11" s="29">
        <f t="shared" si="6"/>
        <v>0</v>
      </c>
      <c r="AV11" s="29">
        <f t="shared" si="7"/>
        <v>2</v>
      </c>
      <c r="AW11" s="29">
        <f t="shared" si="8"/>
        <v>4</v>
      </c>
      <c r="AX11" s="30">
        <f t="shared" si="10"/>
        <v>28</v>
      </c>
      <c r="AY11" s="29">
        <f>FEBReport[[#This Row],[Days]]-FEBReport[[#This Row],[Adsent]]</f>
        <v>28</v>
      </c>
      <c r="AZ11" s="31">
        <v>45000</v>
      </c>
      <c r="BA11" s="32">
        <f>FEBReport[[#This Row],[Salary]]/FEBReport[[#This Row],[Days]]</f>
        <v>1607.1428571428571</v>
      </c>
      <c r="BB11" s="31">
        <f>FEBReport[[#This Row],[Perday salary]]*FEBReport[[#This Row],[Adsent]]</f>
        <v>0</v>
      </c>
      <c r="BC11" s="31">
        <f>FEBReport[[#This Row],[Salary]]-FEBReport[[#This Row],[Detuction ]]</f>
        <v>45000</v>
      </c>
      <c r="BD11" s="29"/>
      <c r="BE11" s="39"/>
      <c r="BF11" s="37"/>
      <c r="BG11" s="37"/>
      <c r="BH11" s="37"/>
      <c r="BI11" s="37"/>
      <c r="BJ11" s="37"/>
      <c r="BK11" s="37"/>
    </row>
    <row r="12" spans="4:68" ht="15.6" x14ac:dyDescent="0.3">
      <c r="D12" s="37"/>
      <c r="E12" s="41"/>
      <c r="F12" s="20">
        <v>6</v>
      </c>
      <c r="G12" s="21">
        <v>1006</v>
      </c>
      <c r="H12" s="22" t="s">
        <v>8</v>
      </c>
      <c r="I12" s="61">
        <f t="shared" si="9"/>
        <v>4</v>
      </c>
      <c r="J12" s="64" t="s">
        <v>42</v>
      </c>
      <c r="K12" s="64" t="str">
        <f t="shared" si="3"/>
        <v>WO</v>
      </c>
      <c r="L12" s="64" t="s">
        <v>42</v>
      </c>
      <c r="M12" s="64" t="s">
        <v>42</v>
      </c>
      <c r="N12" s="64" t="s">
        <v>44</v>
      </c>
      <c r="O12" s="64" t="s">
        <v>42</v>
      </c>
      <c r="P12" s="64" t="s">
        <v>42</v>
      </c>
      <c r="Q12" s="64" t="s">
        <v>42</v>
      </c>
      <c r="R12" s="64" t="str">
        <f t="shared" si="3"/>
        <v>WO</v>
      </c>
      <c r="S12" s="64" t="s">
        <v>42</v>
      </c>
      <c r="T12" s="64" t="s">
        <v>42</v>
      </c>
      <c r="U12" s="64" t="s">
        <v>43</v>
      </c>
      <c r="V12" s="64" t="s">
        <v>42</v>
      </c>
      <c r="W12" s="64" t="s">
        <v>44</v>
      </c>
      <c r="X12" s="64" t="s">
        <v>42</v>
      </c>
      <c r="Y12" s="64" t="str">
        <f t="shared" si="3"/>
        <v>WO</v>
      </c>
      <c r="Z12" s="64" t="s">
        <v>42</v>
      </c>
      <c r="AA12" s="64" t="s">
        <v>42</v>
      </c>
      <c r="AB12" s="64" t="s">
        <v>42</v>
      </c>
      <c r="AC12" s="64" t="s">
        <v>42</v>
      </c>
      <c r="AD12" s="64" t="s">
        <v>42</v>
      </c>
      <c r="AE12" s="64" t="s">
        <v>42</v>
      </c>
      <c r="AF12" s="64" t="str">
        <f t="shared" si="3"/>
        <v>WO</v>
      </c>
      <c r="AG12" s="64" t="s">
        <v>42</v>
      </c>
      <c r="AH12" s="64" t="s">
        <v>42</v>
      </c>
      <c r="AI12" s="64" t="s">
        <v>42</v>
      </c>
      <c r="AJ12" s="64" t="s">
        <v>42</v>
      </c>
      <c r="AK12" s="64" t="s">
        <v>42</v>
      </c>
      <c r="AL12" s="64"/>
      <c r="AM12" s="64"/>
      <c r="AN12" s="73"/>
      <c r="AO12" s="39"/>
      <c r="AP12" s="28">
        <v>6</v>
      </c>
      <c r="AQ12" s="21">
        <v>1006</v>
      </c>
      <c r="AR12" s="33" t="str">
        <f t="shared" si="4"/>
        <v>February</v>
      </c>
      <c r="AS12" s="21" t="s">
        <v>8</v>
      </c>
      <c r="AT12" s="29">
        <f t="shared" si="5"/>
        <v>21</v>
      </c>
      <c r="AU12" s="29">
        <f t="shared" si="6"/>
        <v>1</v>
      </c>
      <c r="AV12" s="29">
        <f t="shared" si="7"/>
        <v>2</v>
      </c>
      <c r="AW12" s="29">
        <f t="shared" si="8"/>
        <v>4</v>
      </c>
      <c r="AX12" s="30">
        <f t="shared" si="10"/>
        <v>28</v>
      </c>
      <c r="AY12" s="29">
        <f>FEBReport[[#This Row],[Days]]-FEBReport[[#This Row],[Adsent]]</f>
        <v>27</v>
      </c>
      <c r="AZ12" s="31">
        <v>15000</v>
      </c>
      <c r="BA12" s="32">
        <f>FEBReport[[#This Row],[Salary]]/FEBReport[[#This Row],[Days]]</f>
        <v>535.71428571428567</v>
      </c>
      <c r="BB12" s="31">
        <f>FEBReport[[#This Row],[Perday salary]]*FEBReport[[#This Row],[Adsent]]</f>
        <v>535.71428571428567</v>
      </c>
      <c r="BC12" s="31">
        <f>FEBReport[[#This Row],[Salary]]-FEBReport[[#This Row],[Detuction ]]</f>
        <v>14464.285714285714</v>
      </c>
      <c r="BD12" s="29"/>
      <c r="BE12" s="39"/>
      <c r="BF12" s="37"/>
      <c r="BG12" s="37"/>
      <c r="BH12" s="37"/>
      <c r="BI12" s="37"/>
      <c r="BJ12" s="37"/>
      <c r="BK12" s="37"/>
    </row>
    <row r="13" spans="4:68" ht="15.6" x14ac:dyDescent="0.3">
      <c r="D13" s="37"/>
      <c r="E13" s="41"/>
      <c r="F13" s="20">
        <v>7</v>
      </c>
      <c r="G13" s="21">
        <v>1007</v>
      </c>
      <c r="H13" s="22" t="s">
        <v>9</v>
      </c>
      <c r="I13" s="61">
        <f t="shared" si="9"/>
        <v>4</v>
      </c>
      <c r="J13" s="64" t="s">
        <v>42</v>
      </c>
      <c r="K13" s="64" t="str">
        <f t="shared" si="3"/>
        <v>WO</v>
      </c>
      <c r="L13" s="64" t="s">
        <v>42</v>
      </c>
      <c r="M13" s="64" t="s">
        <v>42</v>
      </c>
      <c r="N13" s="64" t="s">
        <v>44</v>
      </c>
      <c r="O13" s="64" t="s">
        <v>42</v>
      </c>
      <c r="P13" s="64" t="s">
        <v>42</v>
      </c>
      <c r="Q13" s="64" t="s">
        <v>42</v>
      </c>
      <c r="R13" s="64" t="str">
        <f t="shared" si="3"/>
        <v>WO</v>
      </c>
      <c r="S13" s="64" t="s">
        <v>42</v>
      </c>
      <c r="T13" s="64" t="s">
        <v>42</v>
      </c>
      <c r="U13" s="64" t="s">
        <v>42</v>
      </c>
      <c r="V13" s="64" t="s">
        <v>42</v>
      </c>
      <c r="W13" s="64" t="s">
        <v>44</v>
      </c>
      <c r="X13" s="64" t="s">
        <v>42</v>
      </c>
      <c r="Y13" s="64" t="str">
        <f t="shared" si="3"/>
        <v>WO</v>
      </c>
      <c r="Z13" s="64" t="s">
        <v>42</v>
      </c>
      <c r="AA13" s="64" t="s">
        <v>42</v>
      </c>
      <c r="AB13" s="64" t="s">
        <v>42</v>
      </c>
      <c r="AC13" s="64" t="s">
        <v>42</v>
      </c>
      <c r="AD13" s="64" t="s">
        <v>42</v>
      </c>
      <c r="AE13" s="64" t="s">
        <v>42</v>
      </c>
      <c r="AF13" s="64" t="str">
        <f t="shared" si="3"/>
        <v>WO</v>
      </c>
      <c r="AG13" s="64" t="s">
        <v>42</v>
      </c>
      <c r="AH13" s="64" t="s">
        <v>42</v>
      </c>
      <c r="AI13" s="64" t="s">
        <v>42</v>
      </c>
      <c r="AJ13" s="64" t="s">
        <v>42</v>
      </c>
      <c r="AK13" s="64" t="s">
        <v>42</v>
      </c>
      <c r="AL13" s="64"/>
      <c r="AM13" s="64"/>
      <c r="AN13" s="73"/>
      <c r="AO13" s="39"/>
      <c r="AP13" s="28">
        <v>7</v>
      </c>
      <c r="AQ13" s="21">
        <v>1007</v>
      </c>
      <c r="AR13" s="33" t="str">
        <f t="shared" si="4"/>
        <v>February</v>
      </c>
      <c r="AS13" s="21" t="s">
        <v>9</v>
      </c>
      <c r="AT13" s="29">
        <f t="shared" si="5"/>
        <v>22</v>
      </c>
      <c r="AU13" s="29">
        <f t="shared" si="6"/>
        <v>0</v>
      </c>
      <c r="AV13" s="29">
        <f t="shared" si="7"/>
        <v>2</v>
      </c>
      <c r="AW13" s="29">
        <f t="shared" si="8"/>
        <v>4</v>
      </c>
      <c r="AX13" s="30">
        <f t="shared" si="10"/>
        <v>28</v>
      </c>
      <c r="AY13" s="29">
        <f>FEBReport[[#This Row],[Days]]-FEBReport[[#This Row],[Adsent]]</f>
        <v>28</v>
      </c>
      <c r="AZ13" s="31">
        <v>62000</v>
      </c>
      <c r="BA13" s="32">
        <f>FEBReport[[#This Row],[Salary]]/FEBReport[[#This Row],[Days]]</f>
        <v>2214.2857142857142</v>
      </c>
      <c r="BB13" s="31">
        <f>FEBReport[[#This Row],[Perday salary]]*FEBReport[[#This Row],[Adsent]]</f>
        <v>0</v>
      </c>
      <c r="BC13" s="31">
        <f>FEBReport[[#This Row],[Salary]]-FEBReport[[#This Row],[Detuction ]]</f>
        <v>62000</v>
      </c>
      <c r="BD13" s="29"/>
      <c r="BE13" s="39"/>
      <c r="BF13" s="37"/>
      <c r="BG13" s="37"/>
      <c r="BH13" s="37"/>
      <c r="BI13" s="37"/>
      <c r="BJ13" s="37"/>
      <c r="BK13" s="37"/>
    </row>
    <row r="14" spans="4:68" ht="15.6" x14ac:dyDescent="0.3">
      <c r="D14" s="37"/>
      <c r="E14" s="41"/>
      <c r="F14" s="20">
        <v>8</v>
      </c>
      <c r="G14" s="21">
        <v>1008</v>
      </c>
      <c r="H14" s="22" t="s">
        <v>10</v>
      </c>
      <c r="I14" s="61">
        <f t="shared" si="9"/>
        <v>4</v>
      </c>
      <c r="J14" s="64" t="s">
        <v>42</v>
      </c>
      <c r="K14" s="64" t="str">
        <f t="shared" si="3"/>
        <v>WO</v>
      </c>
      <c r="L14" s="64" t="s">
        <v>42</v>
      </c>
      <c r="M14" s="64" t="s">
        <v>42</v>
      </c>
      <c r="N14" s="64" t="s">
        <v>44</v>
      </c>
      <c r="O14" s="64" t="s">
        <v>42</v>
      </c>
      <c r="P14" s="64" t="s">
        <v>42</v>
      </c>
      <c r="Q14" s="64" t="s">
        <v>42</v>
      </c>
      <c r="R14" s="64" t="str">
        <f t="shared" si="3"/>
        <v>WO</v>
      </c>
      <c r="S14" s="64" t="s">
        <v>42</v>
      </c>
      <c r="T14" s="64" t="s">
        <v>42</v>
      </c>
      <c r="U14" s="64" t="s">
        <v>42</v>
      </c>
      <c r="V14" s="64" t="s">
        <v>42</v>
      </c>
      <c r="W14" s="64" t="s">
        <v>44</v>
      </c>
      <c r="X14" s="64" t="s">
        <v>42</v>
      </c>
      <c r="Y14" s="64" t="str">
        <f t="shared" si="3"/>
        <v>WO</v>
      </c>
      <c r="Z14" s="64" t="s">
        <v>42</v>
      </c>
      <c r="AA14" s="64" t="s">
        <v>42</v>
      </c>
      <c r="AB14" s="64" t="s">
        <v>42</v>
      </c>
      <c r="AC14" s="64" t="s">
        <v>42</v>
      </c>
      <c r="AD14" s="64" t="s">
        <v>42</v>
      </c>
      <c r="AE14" s="64" t="s">
        <v>42</v>
      </c>
      <c r="AF14" s="64" t="str">
        <f t="shared" si="3"/>
        <v>WO</v>
      </c>
      <c r="AG14" s="64" t="s">
        <v>42</v>
      </c>
      <c r="AH14" s="64" t="s">
        <v>42</v>
      </c>
      <c r="AI14" s="64" t="s">
        <v>43</v>
      </c>
      <c r="AJ14" s="64" t="s">
        <v>42</v>
      </c>
      <c r="AK14" s="64" t="s">
        <v>42</v>
      </c>
      <c r="AL14" s="64"/>
      <c r="AM14" s="64"/>
      <c r="AN14" s="73"/>
      <c r="AO14" s="39"/>
      <c r="AP14" s="28">
        <v>8</v>
      </c>
      <c r="AQ14" s="21">
        <v>1008</v>
      </c>
      <c r="AR14" s="33" t="str">
        <f t="shared" si="4"/>
        <v>February</v>
      </c>
      <c r="AS14" s="21" t="s">
        <v>10</v>
      </c>
      <c r="AT14" s="29">
        <f t="shared" si="5"/>
        <v>21</v>
      </c>
      <c r="AU14" s="29">
        <f t="shared" si="6"/>
        <v>1</v>
      </c>
      <c r="AV14" s="29">
        <f t="shared" si="7"/>
        <v>2</v>
      </c>
      <c r="AW14" s="29">
        <f t="shared" si="8"/>
        <v>4</v>
      </c>
      <c r="AX14" s="30">
        <f t="shared" si="10"/>
        <v>28</v>
      </c>
      <c r="AY14" s="29">
        <f>FEBReport[[#This Row],[Days]]-FEBReport[[#This Row],[Adsent]]</f>
        <v>27</v>
      </c>
      <c r="AZ14" s="31">
        <v>50000</v>
      </c>
      <c r="BA14" s="32">
        <f>FEBReport[[#This Row],[Salary]]/FEBReport[[#This Row],[Days]]</f>
        <v>1785.7142857142858</v>
      </c>
      <c r="BB14" s="31">
        <f>FEBReport[[#This Row],[Perday salary]]*FEBReport[[#This Row],[Adsent]]</f>
        <v>1785.7142857142858</v>
      </c>
      <c r="BC14" s="31">
        <f>FEBReport[[#This Row],[Salary]]-FEBReport[[#This Row],[Detuction ]]</f>
        <v>48214.285714285717</v>
      </c>
      <c r="BD14" s="29"/>
      <c r="BE14" s="39"/>
      <c r="BF14" s="37"/>
      <c r="BG14" s="37"/>
      <c r="BH14" s="37"/>
      <c r="BI14" s="37"/>
      <c r="BJ14" s="37"/>
      <c r="BK14" s="37"/>
    </row>
    <row r="15" spans="4:68" ht="15.6" x14ac:dyDescent="0.3">
      <c r="D15" s="37"/>
      <c r="E15" s="41"/>
      <c r="F15" s="20">
        <v>9</v>
      </c>
      <c r="G15" s="21">
        <v>1009</v>
      </c>
      <c r="H15" s="22" t="s">
        <v>11</v>
      </c>
      <c r="I15" s="61">
        <f t="shared" si="9"/>
        <v>4</v>
      </c>
      <c r="J15" s="64" t="s">
        <v>42</v>
      </c>
      <c r="K15" s="64" t="str">
        <f t="shared" si="3"/>
        <v>WO</v>
      </c>
      <c r="L15" s="64" t="s">
        <v>42</v>
      </c>
      <c r="M15" s="64" t="s">
        <v>42</v>
      </c>
      <c r="N15" s="64" t="s">
        <v>44</v>
      </c>
      <c r="O15" s="64" t="s">
        <v>42</v>
      </c>
      <c r="P15" s="64" t="s">
        <v>42</v>
      </c>
      <c r="Q15" s="64" t="s">
        <v>42</v>
      </c>
      <c r="R15" s="64" t="str">
        <f t="shared" si="3"/>
        <v>WO</v>
      </c>
      <c r="S15" s="64" t="s">
        <v>42</v>
      </c>
      <c r="T15" s="64" t="s">
        <v>42</v>
      </c>
      <c r="U15" s="64" t="s">
        <v>42</v>
      </c>
      <c r="V15" s="64" t="s">
        <v>42</v>
      </c>
      <c r="W15" s="64" t="s">
        <v>44</v>
      </c>
      <c r="X15" s="64" t="s">
        <v>42</v>
      </c>
      <c r="Y15" s="64" t="str">
        <f t="shared" si="3"/>
        <v>WO</v>
      </c>
      <c r="Z15" s="64" t="s">
        <v>42</v>
      </c>
      <c r="AA15" s="64" t="s">
        <v>42</v>
      </c>
      <c r="AB15" s="64" t="s">
        <v>42</v>
      </c>
      <c r="AC15" s="64" t="s">
        <v>43</v>
      </c>
      <c r="AD15" s="64" t="s">
        <v>42</v>
      </c>
      <c r="AE15" s="64" t="s">
        <v>42</v>
      </c>
      <c r="AF15" s="64" t="str">
        <f t="shared" ref="AF15:AF26" si="11">IF(AF$5="Sun","WO","")</f>
        <v>WO</v>
      </c>
      <c r="AG15" s="64" t="s">
        <v>42</v>
      </c>
      <c r="AH15" s="64" t="s">
        <v>42</v>
      </c>
      <c r="AI15" s="64" t="s">
        <v>42</v>
      </c>
      <c r="AJ15" s="64" t="s">
        <v>42</v>
      </c>
      <c r="AK15" s="64" t="s">
        <v>42</v>
      </c>
      <c r="AL15" s="64"/>
      <c r="AM15" s="64"/>
      <c r="AN15" s="73"/>
      <c r="AO15" s="39"/>
      <c r="AP15" s="28">
        <v>9</v>
      </c>
      <c r="AQ15" s="21">
        <v>1009</v>
      </c>
      <c r="AR15" s="33" t="str">
        <f t="shared" si="4"/>
        <v>February</v>
      </c>
      <c r="AS15" s="21" t="s">
        <v>11</v>
      </c>
      <c r="AT15" s="29">
        <f t="shared" si="5"/>
        <v>21</v>
      </c>
      <c r="AU15" s="29">
        <f t="shared" si="6"/>
        <v>1</v>
      </c>
      <c r="AV15" s="29">
        <f t="shared" si="7"/>
        <v>2</v>
      </c>
      <c r="AW15" s="29">
        <f t="shared" si="8"/>
        <v>4</v>
      </c>
      <c r="AX15" s="30">
        <f t="shared" si="10"/>
        <v>28</v>
      </c>
      <c r="AY15" s="29">
        <f>FEBReport[[#This Row],[Days]]-FEBReport[[#This Row],[Adsent]]</f>
        <v>27</v>
      </c>
      <c r="AZ15" s="31">
        <v>25000</v>
      </c>
      <c r="BA15" s="32">
        <f>FEBReport[[#This Row],[Salary]]/FEBReport[[#This Row],[Days]]</f>
        <v>892.85714285714289</v>
      </c>
      <c r="BB15" s="31">
        <f>FEBReport[[#This Row],[Perday salary]]*FEBReport[[#This Row],[Adsent]]</f>
        <v>892.85714285714289</v>
      </c>
      <c r="BC15" s="31">
        <f>FEBReport[[#This Row],[Salary]]-FEBReport[[#This Row],[Detuction ]]</f>
        <v>24107.142857142859</v>
      </c>
      <c r="BD15" s="29"/>
      <c r="BE15" s="39"/>
      <c r="BF15" s="37"/>
      <c r="BG15" s="37"/>
      <c r="BH15" s="37"/>
      <c r="BI15" s="37"/>
      <c r="BJ15" s="37"/>
      <c r="BK15" s="37"/>
    </row>
    <row r="16" spans="4:68" ht="15.6" x14ac:dyDescent="0.3">
      <c r="D16" s="37"/>
      <c r="E16" s="41"/>
      <c r="F16" s="20">
        <v>10</v>
      </c>
      <c r="G16" s="21">
        <v>1010</v>
      </c>
      <c r="H16" s="22" t="s">
        <v>12</v>
      </c>
      <c r="I16" s="61">
        <f t="shared" si="9"/>
        <v>4</v>
      </c>
      <c r="J16" s="64" t="s">
        <v>42</v>
      </c>
      <c r="K16" s="64" t="str">
        <f t="shared" ref="K16:Y26" si="12">IF(K$5="Sun","WO","")</f>
        <v>WO</v>
      </c>
      <c r="L16" s="64" t="s">
        <v>42</v>
      </c>
      <c r="M16" s="64" t="s">
        <v>42</v>
      </c>
      <c r="N16" s="64" t="s">
        <v>44</v>
      </c>
      <c r="O16" s="64" t="s">
        <v>42</v>
      </c>
      <c r="P16" s="64" t="s">
        <v>42</v>
      </c>
      <c r="Q16" s="64" t="s">
        <v>42</v>
      </c>
      <c r="R16" s="64" t="str">
        <f t="shared" si="12"/>
        <v>WO</v>
      </c>
      <c r="S16" s="64" t="s">
        <v>42</v>
      </c>
      <c r="T16" s="64" t="s">
        <v>42</v>
      </c>
      <c r="U16" s="64" t="s">
        <v>43</v>
      </c>
      <c r="V16" s="64" t="s">
        <v>42</v>
      </c>
      <c r="W16" s="64" t="s">
        <v>44</v>
      </c>
      <c r="X16" s="64" t="s">
        <v>42</v>
      </c>
      <c r="Y16" s="64" t="str">
        <f t="shared" si="12"/>
        <v>WO</v>
      </c>
      <c r="Z16" s="64" t="s">
        <v>42</v>
      </c>
      <c r="AA16" s="64" t="s">
        <v>42</v>
      </c>
      <c r="AB16" s="64" t="s">
        <v>42</v>
      </c>
      <c r="AC16" s="64" t="s">
        <v>42</v>
      </c>
      <c r="AD16" s="64" t="s">
        <v>42</v>
      </c>
      <c r="AE16" s="64" t="s">
        <v>42</v>
      </c>
      <c r="AF16" s="64" t="str">
        <f t="shared" si="11"/>
        <v>WO</v>
      </c>
      <c r="AG16" s="64" t="s">
        <v>42</v>
      </c>
      <c r="AH16" s="64" t="s">
        <v>42</v>
      </c>
      <c r="AI16" s="64" t="s">
        <v>42</v>
      </c>
      <c r="AJ16" s="64" t="s">
        <v>42</v>
      </c>
      <c r="AK16" s="64" t="s">
        <v>42</v>
      </c>
      <c r="AL16" s="64"/>
      <c r="AM16" s="64"/>
      <c r="AN16" s="73"/>
      <c r="AO16" s="39"/>
      <c r="AP16" s="28">
        <v>10</v>
      </c>
      <c r="AQ16" s="21">
        <v>1010</v>
      </c>
      <c r="AR16" s="33" t="str">
        <f t="shared" si="4"/>
        <v>February</v>
      </c>
      <c r="AS16" s="21" t="s">
        <v>12</v>
      </c>
      <c r="AT16" s="29">
        <f t="shared" si="5"/>
        <v>21</v>
      </c>
      <c r="AU16" s="29">
        <f t="shared" si="6"/>
        <v>1</v>
      </c>
      <c r="AV16" s="29">
        <f t="shared" si="7"/>
        <v>2</v>
      </c>
      <c r="AW16" s="29">
        <f t="shared" si="8"/>
        <v>4</v>
      </c>
      <c r="AX16" s="30">
        <f t="shared" si="10"/>
        <v>28</v>
      </c>
      <c r="AY16" s="29">
        <f>FEBReport[[#This Row],[Days]]-FEBReport[[#This Row],[Adsent]]</f>
        <v>27</v>
      </c>
      <c r="AZ16" s="31">
        <v>45000</v>
      </c>
      <c r="BA16" s="32">
        <f>FEBReport[[#This Row],[Salary]]/FEBReport[[#This Row],[Days]]</f>
        <v>1607.1428571428571</v>
      </c>
      <c r="BB16" s="31">
        <f>FEBReport[[#This Row],[Perday salary]]*FEBReport[[#This Row],[Adsent]]</f>
        <v>1607.1428571428571</v>
      </c>
      <c r="BC16" s="31">
        <f>FEBReport[[#This Row],[Salary]]-FEBReport[[#This Row],[Detuction ]]</f>
        <v>43392.857142857145</v>
      </c>
      <c r="BD16" s="29"/>
      <c r="BE16" s="39"/>
      <c r="BF16" s="37"/>
      <c r="BG16" s="37"/>
      <c r="BH16" s="37"/>
      <c r="BI16" s="37"/>
      <c r="BJ16" s="37"/>
      <c r="BK16" s="37"/>
    </row>
    <row r="17" spans="1:63" ht="15.6" x14ac:dyDescent="0.3">
      <c r="D17" s="37"/>
      <c r="E17" s="41"/>
      <c r="F17" s="20">
        <v>11</v>
      </c>
      <c r="G17" s="21">
        <v>1011</v>
      </c>
      <c r="H17" s="22" t="s">
        <v>13</v>
      </c>
      <c r="I17" s="61">
        <f t="shared" si="9"/>
        <v>4</v>
      </c>
      <c r="J17" s="64" t="s">
        <v>42</v>
      </c>
      <c r="K17" s="64" t="str">
        <f t="shared" si="12"/>
        <v>WO</v>
      </c>
      <c r="L17" s="64" t="s">
        <v>42</v>
      </c>
      <c r="M17" s="64" t="s">
        <v>42</v>
      </c>
      <c r="N17" s="64" t="s">
        <v>44</v>
      </c>
      <c r="O17" s="64" t="s">
        <v>42</v>
      </c>
      <c r="P17" s="64" t="s">
        <v>42</v>
      </c>
      <c r="Q17" s="64" t="s">
        <v>42</v>
      </c>
      <c r="R17" s="64" t="str">
        <f t="shared" si="12"/>
        <v>WO</v>
      </c>
      <c r="S17" s="64" t="s">
        <v>42</v>
      </c>
      <c r="T17" s="64" t="s">
        <v>42</v>
      </c>
      <c r="U17" s="64" t="s">
        <v>42</v>
      </c>
      <c r="V17" s="64" t="s">
        <v>42</v>
      </c>
      <c r="W17" s="64" t="s">
        <v>44</v>
      </c>
      <c r="X17" s="64" t="s">
        <v>42</v>
      </c>
      <c r="Y17" s="64" t="str">
        <f t="shared" si="12"/>
        <v>WO</v>
      </c>
      <c r="Z17" s="64" t="s">
        <v>42</v>
      </c>
      <c r="AA17" s="64" t="s">
        <v>42</v>
      </c>
      <c r="AB17" s="64" t="s">
        <v>42</v>
      </c>
      <c r="AC17" s="64" t="s">
        <v>42</v>
      </c>
      <c r="AD17" s="64" t="s">
        <v>42</v>
      </c>
      <c r="AE17" s="64" t="s">
        <v>42</v>
      </c>
      <c r="AF17" s="64" t="str">
        <f t="shared" si="11"/>
        <v>WO</v>
      </c>
      <c r="AG17" s="64" t="s">
        <v>42</v>
      </c>
      <c r="AH17" s="64" t="s">
        <v>42</v>
      </c>
      <c r="AI17" s="64" t="s">
        <v>42</v>
      </c>
      <c r="AJ17" s="64" t="s">
        <v>42</v>
      </c>
      <c r="AK17" s="64" t="s">
        <v>42</v>
      </c>
      <c r="AL17" s="64"/>
      <c r="AM17" s="64"/>
      <c r="AN17" s="73"/>
      <c r="AO17" s="39"/>
      <c r="AP17" s="28">
        <v>11</v>
      </c>
      <c r="AQ17" s="21">
        <v>1011</v>
      </c>
      <c r="AR17" s="33" t="str">
        <f t="shared" si="4"/>
        <v>February</v>
      </c>
      <c r="AS17" s="21" t="s">
        <v>13</v>
      </c>
      <c r="AT17" s="29">
        <f t="shared" si="5"/>
        <v>22</v>
      </c>
      <c r="AU17" s="29">
        <f t="shared" si="6"/>
        <v>0</v>
      </c>
      <c r="AV17" s="29">
        <f t="shared" si="7"/>
        <v>2</v>
      </c>
      <c r="AW17" s="29">
        <f t="shared" si="8"/>
        <v>4</v>
      </c>
      <c r="AX17" s="30">
        <f t="shared" si="10"/>
        <v>28</v>
      </c>
      <c r="AY17" s="29">
        <f>FEBReport[[#This Row],[Days]]-FEBReport[[#This Row],[Adsent]]</f>
        <v>28</v>
      </c>
      <c r="AZ17" s="31">
        <v>48000</v>
      </c>
      <c r="BA17" s="32">
        <f>FEBReport[[#This Row],[Salary]]/FEBReport[[#This Row],[Days]]</f>
        <v>1714.2857142857142</v>
      </c>
      <c r="BB17" s="31">
        <f>FEBReport[[#This Row],[Perday salary]]*FEBReport[[#This Row],[Adsent]]</f>
        <v>0</v>
      </c>
      <c r="BC17" s="31">
        <f>FEBReport[[#This Row],[Salary]]-FEBReport[[#This Row],[Detuction ]]</f>
        <v>48000</v>
      </c>
      <c r="BD17" s="29"/>
      <c r="BE17" s="39"/>
      <c r="BF17" s="37"/>
      <c r="BG17" s="37"/>
      <c r="BH17" s="37"/>
      <c r="BI17" s="37"/>
      <c r="BJ17" s="37"/>
      <c r="BK17" s="37"/>
    </row>
    <row r="18" spans="1:63" ht="15.6" x14ac:dyDescent="0.3">
      <c r="D18" s="37"/>
      <c r="E18" s="41"/>
      <c r="F18" s="20">
        <v>12</v>
      </c>
      <c r="G18" s="21">
        <v>1012</v>
      </c>
      <c r="H18" s="22" t="s">
        <v>14</v>
      </c>
      <c r="I18" s="61">
        <f t="shared" si="9"/>
        <v>4</v>
      </c>
      <c r="J18" s="64" t="s">
        <v>42</v>
      </c>
      <c r="K18" s="64" t="str">
        <f t="shared" si="12"/>
        <v>WO</v>
      </c>
      <c r="L18" s="64" t="s">
        <v>42</v>
      </c>
      <c r="M18" s="64" t="s">
        <v>42</v>
      </c>
      <c r="N18" s="64" t="s">
        <v>44</v>
      </c>
      <c r="O18" s="64" t="s">
        <v>42</v>
      </c>
      <c r="P18" s="64" t="s">
        <v>42</v>
      </c>
      <c r="Q18" s="64" t="s">
        <v>42</v>
      </c>
      <c r="R18" s="64" t="str">
        <f t="shared" si="12"/>
        <v>WO</v>
      </c>
      <c r="S18" s="64" t="s">
        <v>42</v>
      </c>
      <c r="T18" s="64" t="s">
        <v>42</v>
      </c>
      <c r="U18" s="64" t="s">
        <v>42</v>
      </c>
      <c r="V18" s="64" t="s">
        <v>42</v>
      </c>
      <c r="W18" s="64" t="s">
        <v>44</v>
      </c>
      <c r="X18" s="64" t="s">
        <v>42</v>
      </c>
      <c r="Y18" s="64" t="str">
        <f t="shared" si="12"/>
        <v>WO</v>
      </c>
      <c r="Z18" s="64" t="s">
        <v>42</v>
      </c>
      <c r="AA18" s="64" t="s">
        <v>42</v>
      </c>
      <c r="AB18" s="64" t="s">
        <v>42</v>
      </c>
      <c r="AC18" s="64" t="s">
        <v>42</v>
      </c>
      <c r="AD18" s="64" t="s">
        <v>42</v>
      </c>
      <c r="AE18" s="64" t="s">
        <v>42</v>
      </c>
      <c r="AF18" s="64" t="str">
        <f t="shared" si="11"/>
        <v>WO</v>
      </c>
      <c r="AG18" s="64" t="s">
        <v>42</v>
      </c>
      <c r="AH18" s="64" t="s">
        <v>42</v>
      </c>
      <c r="AI18" s="64" t="s">
        <v>42</v>
      </c>
      <c r="AJ18" s="64" t="s">
        <v>42</v>
      </c>
      <c r="AK18" s="64" t="s">
        <v>42</v>
      </c>
      <c r="AL18" s="64"/>
      <c r="AM18" s="64"/>
      <c r="AN18" s="73"/>
      <c r="AO18" s="39"/>
      <c r="AP18" s="28">
        <v>12</v>
      </c>
      <c r="AQ18" s="21">
        <v>1012</v>
      </c>
      <c r="AR18" s="33" t="str">
        <f t="shared" si="4"/>
        <v>February</v>
      </c>
      <c r="AS18" s="21" t="s">
        <v>14</v>
      </c>
      <c r="AT18" s="29">
        <f t="shared" si="5"/>
        <v>22</v>
      </c>
      <c r="AU18" s="29">
        <f t="shared" si="6"/>
        <v>0</v>
      </c>
      <c r="AV18" s="29">
        <f t="shared" si="7"/>
        <v>2</v>
      </c>
      <c r="AW18" s="29">
        <f t="shared" si="8"/>
        <v>4</v>
      </c>
      <c r="AX18" s="30">
        <f t="shared" si="10"/>
        <v>28</v>
      </c>
      <c r="AY18" s="29">
        <f>FEBReport[[#This Row],[Days]]-FEBReport[[#This Row],[Adsent]]</f>
        <v>28</v>
      </c>
      <c r="AZ18" s="31">
        <v>52000</v>
      </c>
      <c r="BA18" s="32">
        <f>FEBReport[[#This Row],[Salary]]/FEBReport[[#This Row],[Days]]</f>
        <v>1857.1428571428571</v>
      </c>
      <c r="BB18" s="31">
        <f>FEBReport[[#This Row],[Perday salary]]*FEBReport[[#This Row],[Adsent]]</f>
        <v>0</v>
      </c>
      <c r="BC18" s="31">
        <f>FEBReport[[#This Row],[Salary]]-FEBReport[[#This Row],[Detuction ]]</f>
        <v>52000</v>
      </c>
      <c r="BD18" s="29"/>
      <c r="BE18" s="39"/>
      <c r="BF18" s="37"/>
      <c r="BG18" s="37"/>
      <c r="BH18" s="37"/>
      <c r="BI18" s="37"/>
      <c r="BJ18" s="37"/>
      <c r="BK18" s="37"/>
    </row>
    <row r="19" spans="1:63" ht="15.6" x14ac:dyDescent="0.3">
      <c r="D19" s="37"/>
      <c r="E19" s="41"/>
      <c r="F19" s="20">
        <v>13</v>
      </c>
      <c r="G19" s="21">
        <v>1013</v>
      </c>
      <c r="H19" s="22" t="s">
        <v>15</v>
      </c>
      <c r="I19" s="61">
        <f t="shared" si="9"/>
        <v>4</v>
      </c>
      <c r="J19" s="64" t="s">
        <v>42</v>
      </c>
      <c r="K19" s="64" t="str">
        <f t="shared" si="12"/>
        <v>WO</v>
      </c>
      <c r="L19" s="64" t="s">
        <v>42</v>
      </c>
      <c r="M19" s="64" t="s">
        <v>42</v>
      </c>
      <c r="N19" s="64" t="s">
        <v>44</v>
      </c>
      <c r="O19" s="64" t="s">
        <v>42</v>
      </c>
      <c r="P19" s="64" t="s">
        <v>42</v>
      </c>
      <c r="Q19" s="64" t="s">
        <v>42</v>
      </c>
      <c r="R19" s="64" t="str">
        <f t="shared" si="12"/>
        <v>WO</v>
      </c>
      <c r="S19" s="64" t="s">
        <v>42</v>
      </c>
      <c r="T19" s="64" t="s">
        <v>42</v>
      </c>
      <c r="U19" s="64" t="s">
        <v>42</v>
      </c>
      <c r="V19" s="64" t="s">
        <v>42</v>
      </c>
      <c r="W19" s="64" t="s">
        <v>44</v>
      </c>
      <c r="X19" s="64" t="s">
        <v>42</v>
      </c>
      <c r="Y19" s="64" t="str">
        <f t="shared" si="12"/>
        <v>WO</v>
      </c>
      <c r="Z19" s="64" t="s">
        <v>42</v>
      </c>
      <c r="AA19" s="64" t="s">
        <v>42</v>
      </c>
      <c r="AB19" s="64" t="s">
        <v>42</v>
      </c>
      <c r="AC19" s="64" t="s">
        <v>42</v>
      </c>
      <c r="AD19" s="64" t="s">
        <v>42</v>
      </c>
      <c r="AE19" s="64" t="s">
        <v>42</v>
      </c>
      <c r="AF19" s="64" t="str">
        <f t="shared" si="11"/>
        <v>WO</v>
      </c>
      <c r="AG19" s="64" t="s">
        <v>42</v>
      </c>
      <c r="AH19" s="64" t="s">
        <v>42</v>
      </c>
      <c r="AI19" s="64" t="s">
        <v>42</v>
      </c>
      <c r="AJ19" s="64" t="s">
        <v>42</v>
      </c>
      <c r="AK19" s="64" t="s">
        <v>42</v>
      </c>
      <c r="AL19" s="64"/>
      <c r="AM19" s="64"/>
      <c r="AN19" s="73"/>
      <c r="AO19" s="39"/>
      <c r="AP19" s="28">
        <v>13</v>
      </c>
      <c r="AQ19" s="21">
        <v>1013</v>
      </c>
      <c r="AR19" s="33" t="str">
        <f t="shared" si="4"/>
        <v>February</v>
      </c>
      <c r="AS19" s="21" t="s">
        <v>15</v>
      </c>
      <c r="AT19" s="29">
        <f t="shared" si="5"/>
        <v>22</v>
      </c>
      <c r="AU19" s="29">
        <f t="shared" si="6"/>
        <v>0</v>
      </c>
      <c r="AV19" s="29">
        <f t="shared" si="7"/>
        <v>2</v>
      </c>
      <c r="AW19" s="29">
        <f t="shared" si="8"/>
        <v>4</v>
      </c>
      <c r="AX19" s="30">
        <f t="shared" si="10"/>
        <v>28</v>
      </c>
      <c r="AY19" s="29">
        <f>FEBReport[[#This Row],[Days]]-FEBReport[[#This Row],[Adsent]]</f>
        <v>28</v>
      </c>
      <c r="AZ19" s="31">
        <v>42000</v>
      </c>
      <c r="BA19" s="32">
        <f>FEBReport[[#This Row],[Salary]]/FEBReport[[#This Row],[Days]]</f>
        <v>1500</v>
      </c>
      <c r="BB19" s="31">
        <f>FEBReport[[#This Row],[Perday salary]]*FEBReport[[#This Row],[Adsent]]</f>
        <v>0</v>
      </c>
      <c r="BC19" s="31">
        <f>FEBReport[[#This Row],[Salary]]-FEBReport[[#This Row],[Detuction ]]</f>
        <v>42000</v>
      </c>
      <c r="BD19" s="29"/>
      <c r="BE19" s="39"/>
      <c r="BF19" s="37"/>
      <c r="BG19" s="37"/>
      <c r="BH19" s="37"/>
      <c r="BI19" s="37"/>
      <c r="BJ19" s="37"/>
      <c r="BK19" s="37"/>
    </row>
    <row r="20" spans="1:63" ht="15.6" x14ac:dyDescent="0.3">
      <c r="D20" s="37"/>
      <c r="E20" s="41"/>
      <c r="F20" s="20">
        <v>14</v>
      </c>
      <c r="G20" s="21">
        <v>1014</v>
      </c>
      <c r="H20" s="22" t="s">
        <v>16</v>
      </c>
      <c r="I20" s="61">
        <f t="shared" si="9"/>
        <v>4</v>
      </c>
      <c r="J20" s="64" t="s">
        <v>42</v>
      </c>
      <c r="K20" s="64" t="str">
        <f t="shared" si="12"/>
        <v>WO</v>
      </c>
      <c r="L20" s="64" t="s">
        <v>42</v>
      </c>
      <c r="M20" s="64" t="s">
        <v>42</v>
      </c>
      <c r="N20" s="64" t="s">
        <v>44</v>
      </c>
      <c r="O20" s="64" t="s">
        <v>42</v>
      </c>
      <c r="P20" s="64" t="s">
        <v>42</v>
      </c>
      <c r="Q20" s="64" t="s">
        <v>42</v>
      </c>
      <c r="R20" s="64" t="str">
        <f t="shared" si="12"/>
        <v>WO</v>
      </c>
      <c r="S20" s="64" t="s">
        <v>42</v>
      </c>
      <c r="T20" s="64" t="s">
        <v>42</v>
      </c>
      <c r="U20" s="64" t="s">
        <v>42</v>
      </c>
      <c r="V20" s="64" t="s">
        <v>42</v>
      </c>
      <c r="W20" s="64" t="s">
        <v>44</v>
      </c>
      <c r="X20" s="64" t="s">
        <v>42</v>
      </c>
      <c r="Y20" s="64" t="str">
        <f t="shared" si="12"/>
        <v>WO</v>
      </c>
      <c r="Z20" s="64" t="s">
        <v>42</v>
      </c>
      <c r="AA20" s="64" t="s">
        <v>42</v>
      </c>
      <c r="AB20" s="64" t="s">
        <v>42</v>
      </c>
      <c r="AC20" s="64" t="s">
        <v>42</v>
      </c>
      <c r="AD20" s="64" t="s">
        <v>42</v>
      </c>
      <c r="AE20" s="64" t="s">
        <v>42</v>
      </c>
      <c r="AF20" s="64" t="str">
        <f t="shared" si="11"/>
        <v>WO</v>
      </c>
      <c r="AG20" s="64" t="s">
        <v>42</v>
      </c>
      <c r="AH20" s="64" t="s">
        <v>42</v>
      </c>
      <c r="AI20" s="64" t="s">
        <v>42</v>
      </c>
      <c r="AJ20" s="64" t="s">
        <v>42</v>
      </c>
      <c r="AK20" s="64" t="s">
        <v>42</v>
      </c>
      <c r="AL20" s="64"/>
      <c r="AM20" s="64"/>
      <c r="AN20" s="73"/>
      <c r="AO20" s="39"/>
      <c r="AP20" s="28">
        <v>14</v>
      </c>
      <c r="AQ20" s="21">
        <v>1014</v>
      </c>
      <c r="AR20" s="33" t="str">
        <f t="shared" si="4"/>
        <v>February</v>
      </c>
      <c r="AS20" s="21" t="s">
        <v>16</v>
      </c>
      <c r="AT20" s="29">
        <f t="shared" si="5"/>
        <v>22</v>
      </c>
      <c r="AU20" s="29">
        <f t="shared" si="6"/>
        <v>0</v>
      </c>
      <c r="AV20" s="29">
        <f t="shared" si="7"/>
        <v>2</v>
      </c>
      <c r="AW20" s="29">
        <f t="shared" si="8"/>
        <v>4</v>
      </c>
      <c r="AX20" s="30">
        <f t="shared" si="10"/>
        <v>28</v>
      </c>
      <c r="AY20" s="29">
        <f>FEBReport[[#This Row],[Days]]-FEBReport[[#This Row],[Adsent]]</f>
        <v>28</v>
      </c>
      <c r="AZ20" s="31">
        <v>15000</v>
      </c>
      <c r="BA20" s="32">
        <f>FEBReport[[#This Row],[Salary]]/FEBReport[[#This Row],[Days]]</f>
        <v>535.71428571428567</v>
      </c>
      <c r="BB20" s="31">
        <f>FEBReport[[#This Row],[Perday salary]]*FEBReport[[#This Row],[Adsent]]</f>
        <v>0</v>
      </c>
      <c r="BC20" s="31">
        <f>FEBReport[[#This Row],[Salary]]-FEBReport[[#This Row],[Detuction ]]</f>
        <v>15000</v>
      </c>
      <c r="BD20" s="29"/>
      <c r="BE20" s="39"/>
      <c r="BF20" s="37"/>
      <c r="BG20" s="37"/>
      <c r="BH20" s="37"/>
      <c r="BI20" s="37"/>
      <c r="BJ20" s="37"/>
      <c r="BK20" s="37"/>
    </row>
    <row r="21" spans="1:63" ht="15.6" x14ac:dyDescent="0.3">
      <c r="D21" s="37"/>
      <c r="E21" s="41"/>
      <c r="F21" s="20">
        <v>15</v>
      </c>
      <c r="G21" s="21">
        <v>1015</v>
      </c>
      <c r="H21" s="22" t="s">
        <v>17</v>
      </c>
      <c r="I21" s="61">
        <f t="shared" si="9"/>
        <v>4</v>
      </c>
      <c r="J21" s="64" t="s">
        <v>42</v>
      </c>
      <c r="K21" s="64" t="str">
        <f t="shared" si="12"/>
        <v>WO</v>
      </c>
      <c r="L21" s="64" t="s">
        <v>43</v>
      </c>
      <c r="M21" s="64" t="s">
        <v>42</v>
      </c>
      <c r="N21" s="64" t="s">
        <v>44</v>
      </c>
      <c r="O21" s="64" t="s">
        <v>42</v>
      </c>
      <c r="P21" s="64" t="s">
        <v>42</v>
      </c>
      <c r="Q21" s="64" t="s">
        <v>42</v>
      </c>
      <c r="R21" s="64" t="str">
        <f t="shared" si="12"/>
        <v>WO</v>
      </c>
      <c r="S21" s="64" t="s">
        <v>42</v>
      </c>
      <c r="T21" s="64" t="s">
        <v>42</v>
      </c>
      <c r="U21" s="64" t="s">
        <v>42</v>
      </c>
      <c r="V21" s="64" t="s">
        <v>42</v>
      </c>
      <c r="W21" s="64" t="s">
        <v>44</v>
      </c>
      <c r="X21" s="64" t="s">
        <v>42</v>
      </c>
      <c r="Y21" s="64" t="str">
        <f t="shared" si="12"/>
        <v>WO</v>
      </c>
      <c r="Z21" s="64" t="s">
        <v>42</v>
      </c>
      <c r="AA21" s="64" t="s">
        <v>42</v>
      </c>
      <c r="AB21" s="64" t="s">
        <v>42</v>
      </c>
      <c r="AC21" s="64" t="s">
        <v>42</v>
      </c>
      <c r="AD21" s="64" t="s">
        <v>42</v>
      </c>
      <c r="AE21" s="64" t="s">
        <v>42</v>
      </c>
      <c r="AF21" s="64" t="str">
        <f t="shared" si="11"/>
        <v>WO</v>
      </c>
      <c r="AG21" s="64" t="s">
        <v>42</v>
      </c>
      <c r="AH21" s="64" t="s">
        <v>42</v>
      </c>
      <c r="AI21" s="64" t="s">
        <v>42</v>
      </c>
      <c r="AJ21" s="64" t="s">
        <v>42</v>
      </c>
      <c r="AK21" s="64" t="s">
        <v>42</v>
      </c>
      <c r="AL21" s="64"/>
      <c r="AM21" s="64"/>
      <c r="AN21" s="73"/>
      <c r="AO21" s="39"/>
      <c r="AP21" s="28">
        <v>15</v>
      </c>
      <c r="AQ21" s="21">
        <v>1015</v>
      </c>
      <c r="AR21" s="33" t="str">
        <f t="shared" si="4"/>
        <v>February</v>
      </c>
      <c r="AS21" s="21" t="s">
        <v>17</v>
      </c>
      <c r="AT21" s="29">
        <f t="shared" si="5"/>
        <v>21</v>
      </c>
      <c r="AU21" s="29">
        <f t="shared" si="6"/>
        <v>1</v>
      </c>
      <c r="AV21" s="29">
        <f t="shared" si="7"/>
        <v>2</v>
      </c>
      <c r="AW21" s="29">
        <f t="shared" si="8"/>
        <v>4</v>
      </c>
      <c r="AX21" s="30">
        <f t="shared" si="10"/>
        <v>28</v>
      </c>
      <c r="AY21" s="29">
        <f>FEBReport[[#This Row],[Days]]-FEBReport[[#This Row],[Adsent]]</f>
        <v>27</v>
      </c>
      <c r="AZ21" s="31">
        <v>46000</v>
      </c>
      <c r="BA21" s="32">
        <f>FEBReport[[#This Row],[Salary]]/FEBReport[[#This Row],[Days]]</f>
        <v>1642.8571428571429</v>
      </c>
      <c r="BB21" s="31">
        <f>FEBReport[[#This Row],[Perday salary]]*FEBReport[[#This Row],[Adsent]]</f>
        <v>1642.8571428571429</v>
      </c>
      <c r="BC21" s="31">
        <f>FEBReport[[#This Row],[Salary]]-FEBReport[[#This Row],[Detuction ]]</f>
        <v>44357.142857142855</v>
      </c>
      <c r="BD21" s="29"/>
      <c r="BE21" s="39"/>
      <c r="BF21" s="37"/>
      <c r="BG21" s="37"/>
      <c r="BH21" s="37"/>
      <c r="BI21" s="37"/>
      <c r="BJ21" s="37"/>
      <c r="BK21" s="37"/>
    </row>
    <row r="22" spans="1:63" ht="15.6" x14ac:dyDescent="0.3">
      <c r="D22" s="37"/>
      <c r="E22" s="41"/>
      <c r="F22" s="20">
        <v>16</v>
      </c>
      <c r="G22" s="21">
        <v>1016</v>
      </c>
      <c r="H22" s="22" t="s">
        <v>18</v>
      </c>
      <c r="I22" s="61">
        <f t="shared" si="9"/>
        <v>4</v>
      </c>
      <c r="J22" s="64" t="s">
        <v>42</v>
      </c>
      <c r="K22" s="64" t="str">
        <f t="shared" si="12"/>
        <v>WO</v>
      </c>
      <c r="L22" s="64" t="s">
        <v>42</v>
      </c>
      <c r="M22" s="64" t="s">
        <v>42</v>
      </c>
      <c r="N22" s="64" t="s">
        <v>44</v>
      </c>
      <c r="O22" s="64" t="s">
        <v>42</v>
      </c>
      <c r="P22" s="64" t="s">
        <v>42</v>
      </c>
      <c r="Q22" s="64" t="s">
        <v>42</v>
      </c>
      <c r="R22" s="64" t="str">
        <f t="shared" si="12"/>
        <v>WO</v>
      </c>
      <c r="S22" s="64" t="s">
        <v>42</v>
      </c>
      <c r="T22" s="64" t="s">
        <v>42</v>
      </c>
      <c r="U22" s="64" t="s">
        <v>42</v>
      </c>
      <c r="V22" s="64" t="s">
        <v>42</v>
      </c>
      <c r="W22" s="64" t="s">
        <v>44</v>
      </c>
      <c r="X22" s="64" t="s">
        <v>42</v>
      </c>
      <c r="Y22" s="64" t="str">
        <f t="shared" si="12"/>
        <v>WO</v>
      </c>
      <c r="Z22" s="64" t="s">
        <v>42</v>
      </c>
      <c r="AA22" s="64" t="s">
        <v>42</v>
      </c>
      <c r="AB22" s="64" t="s">
        <v>42</v>
      </c>
      <c r="AC22" s="64" t="s">
        <v>43</v>
      </c>
      <c r="AD22" s="64" t="s">
        <v>42</v>
      </c>
      <c r="AE22" s="64" t="s">
        <v>42</v>
      </c>
      <c r="AF22" s="64" t="str">
        <f t="shared" si="11"/>
        <v>WO</v>
      </c>
      <c r="AG22" s="64" t="s">
        <v>42</v>
      </c>
      <c r="AH22" s="64" t="s">
        <v>42</v>
      </c>
      <c r="AI22" s="64" t="s">
        <v>42</v>
      </c>
      <c r="AJ22" s="64" t="s">
        <v>42</v>
      </c>
      <c r="AK22" s="64" t="s">
        <v>42</v>
      </c>
      <c r="AL22" s="64"/>
      <c r="AM22" s="64"/>
      <c r="AN22" s="73"/>
      <c r="AO22" s="39"/>
      <c r="AP22" s="28">
        <v>16</v>
      </c>
      <c r="AQ22" s="21">
        <v>1016</v>
      </c>
      <c r="AR22" s="33" t="str">
        <f t="shared" si="4"/>
        <v>February</v>
      </c>
      <c r="AS22" s="21" t="s">
        <v>18</v>
      </c>
      <c r="AT22" s="29">
        <f t="shared" si="5"/>
        <v>21</v>
      </c>
      <c r="AU22" s="29">
        <f t="shared" si="6"/>
        <v>1</v>
      </c>
      <c r="AV22" s="29">
        <f t="shared" si="7"/>
        <v>2</v>
      </c>
      <c r="AW22" s="29">
        <f t="shared" si="8"/>
        <v>4</v>
      </c>
      <c r="AX22" s="30">
        <f t="shared" si="10"/>
        <v>28</v>
      </c>
      <c r="AY22" s="29">
        <f>FEBReport[[#This Row],[Days]]-FEBReport[[#This Row],[Adsent]]</f>
        <v>27</v>
      </c>
      <c r="AZ22" s="31">
        <v>52000</v>
      </c>
      <c r="BA22" s="32">
        <f>FEBReport[[#This Row],[Salary]]/FEBReport[[#This Row],[Days]]</f>
        <v>1857.1428571428571</v>
      </c>
      <c r="BB22" s="31">
        <f>FEBReport[[#This Row],[Perday salary]]*FEBReport[[#This Row],[Adsent]]</f>
        <v>1857.1428571428571</v>
      </c>
      <c r="BC22" s="31">
        <f>FEBReport[[#This Row],[Salary]]-FEBReport[[#This Row],[Detuction ]]</f>
        <v>50142.857142857145</v>
      </c>
      <c r="BD22" s="29"/>
      <c r="BE22" s="39"/>
      <c r="BF22" s="37"/>
      <c r="BG22" s="37"/>
      <c r="BH22" s="37"/>
      <c r="BI22" s="37"/>
      <c r="BJ22" s="37"/>
      <c r="BK22" s="37"/>
    </row>
    <row r="23" spans="1:63" ht="15.6" x14ac:dyDescent="0.3">
      <c r="D23" s="37"/>
      <c r="E23" s="41"/>
      <c r="F23" s="20">
        <v>17</v>
      </c>
      <c r="G23" s="21">
        <v>1017</v>
      </c>
      <c r="H23" s="22" t="s">
        <v>19</v>
      </c>
      <c r="I23" s="61">
        <f t="shared" si="9"/>
        <v>4</v>
      </c>
      <c r="J23" s="64" t="s">
        <v>42</v>
      </c>
      <c r="K23" s="64" t="str">
        <f t="shared" si="12"/>
        <v>WO</v>
      </c>
      <c r="L23" s="64" t="s">
        <v>42</v>
      </c>
      <c r="M23" s="64" t="s">
        <v>42</v>
      </c>
      <c r="N23" s="64" t="s">
        <v>44</v>
      </c>
      <c r="O23" s="64" t="s">
        <v>42</v>
      </c>
      <c r="P23" s="64" t="s">
        <v>42</v>
      </c>
      <c r="Q23" s="64" t="s">
        <v>42</v>
      </c>
      <c r="R23" s="64" t="str">
        <f t="shared" si="12"/>
        <v>WO</v>
      </c>
      <c r="S23" s="64" t="s">
        <v>42</v>
      </c>
      <c r="T23" s="64" t="s">
        <v>42</v>
      </c>
      <c r="U23" s="64" t="s">
        <v>42</v>
      </c>
      <c r="V23" s="64" t="s">
        <v>42</v>
      </c>
      <c r="W23" s="64" t="s">
        <v>44</v>
      </c>
      <c r="X23" s="64" t="s">
        <v>42</v>
      </c>
      <c r="Y23" s="64" t="str">
        <f t="shared" si="12"/>
        <v>WO</v>
      </c>
      <c r="Z23" s="64" t="s">
        <v>42</v>
      </c>
      <c r="AA23" s="64" t="s">
        <v>42</v>
      </c>
      <c r="AB23" s="64" t="s">
        <v>43</v>
      </c>
      <c r="AC23" s="64" t="s">
        <v>42</v>
      </c>
      <c r="AD23" s="64" t="s">
        <v>42</v>
      </c>
      <c r="AE23" s="64" t="s">
        <v>42</v>
      </c>
      <c r="AF23" s="64" t="str">
        <f t="shared" si="11"/>
        <v>WO</v>
      </c>
      <c r="AG23" s="64" t="s">
        <v>42</v>
      </c>
      <c r="AH23" s="64" t="s">
        <v>42</v>
      </c>
      <c r="AI23" s="64" t="s">
        <v>42</v>
      </c>
      <c r="AJ23" s="64" t="s">
        <v>42</v>
      </c>
      <c r="AK23" s="64" t="s">
        <v>42</v>
      </c>
      <c r="AL23" s="64"/>
      <c r="AM23" s="64"/>
      <c r="AN23" s="73"/>
      <c r="AO23" s="39"/>
      <c r="AP23" s="28">
        <v>17</v>
      </c>
      <c r="AQ23" s="21">
        <v>1017</v>
      </c>
      <c r="AR23" s="33" t="str">
        <f t="shared" si="4"/>
        <v>February</v>
      </c>
      <c r="AS23" s="21" t="s">
        <v>19</v>
      </c>
      <c r="AT23" s="29">
        <f t="shared" si="5"/>
        <v>21</v>
      </c>
      <c r="AU23" s="29">
        <f t="shared" si="6"/>
        <v>1</v>
      </c>
      <c r="AV23" s="29">
        <f t="shared" si="7"/>
        <v>2</v>
      </c>
      <c r="AW23" s="29">
        <f t="shared" si="8"/>
        <v>4</v>
      </c>
      <c r="AX23" s="30">
        <f t="shared" si="10"/>
        <v>28</v>
      </c>
      <c r="AY23" s="29">
        <f>FEBReport[[#This Row],[Days]]-FEBReport[[#This Row],[Adsent]]</f>
        <v>27</v>
      </c>
      <c r="AZ23" s="31">
        <v>42000</v>
      </c>
      <c r="BA23" s="32">
        <f>FEBReport[[#This Row],[Salary]]/FEBReport[[#This Row],[Days]]</f>
        <v>1500</v>
      </c>
      <c r="BB23" s="31">
        <f>FEBReport[[#This Row],[Perday salary]]*FEBReport[[#This Row],[Adsent]]</f>
        <v>1500</v>
      </c>
      <c r="BC23" s="31">
        <f>FEBReport[[#This Row],[Salary]]-FEBReport[[#This Row],[Detuction ]]</f>
        <v>40500</v>
      </c>
      <c r="BD23" s="29"/>
      <c r="BE23" s="39"/>
      <c r="BF23" s="37"/>
      <c r="BG23" s="37"/>
      <c r="BH23" s="37"/>
      <c r="BI23" s="37"/>
      <c r="BJ23" s="37"/>
      <c r="BK23" s="37"/>
    </row>
    <row r="24" spans="1:63" ht="15.6" x14ac:dyDescent="0.3">
      <c r="D24" s="37"/>
      <c r="E24" s="41"/>
      <c r="F24" s="20">
        <v>18</v>
      </c>
      <c r="G24" s="21">
        <v>1018</v>
      </c>
      <c r="H24" s="22" t="s">
        <v>20</v>
      </c>
      <c r="I24" s="61">
        <f t="shared" si="9"/>
        <v>4</v>
      </c>
      <c r="J24" s="64" t="s">
        <v>42</v>
      </c>
      <c r="K24" s="64" t="str">
        <f t="shared" si="12"/>
        <v>WO</v>
      </c>
      <c r="L24" s="64" t="s">
        <v>42</v>
      </c>
      <c r="M24" s="64" t="s">
        <v>42</v>
      </c>
      <c r="N24" s="64" t="s">
        <v>44</v>
      </c>
      <c r="O24" s="64" t="s">
        <v>42</v>
      </c>
      <c r="P24" s="64" t="s">
        <v>42</v>
      </c>
      <c r="Q24" s="64" t="s">
        <v>42</v>
      </c>
      <c r="R24" s="64" t="str">
        <f t="shared" si="12"/>
        <v>WO</v>
      </c>
      <c r="S24" s="64" t="s">
        <v>42</v>
      </c>
      <c r="T24" s="64" t="s">
        <v>42</v>
      </c>
      <c r="U24" s="64" t="s">
        <v>42</v>
      </c>
      <c r="V24" s="64" t="s">
        <v>42</v>
      </c>
      <c r="W24" s="64" t="s">
        <v>44</v>
      </c>
      <c r="X24" s="64" t="s">
        <v>42</v>
      </c>
      <c r="Y24" s="64" t="str">
        <f t="shared" si="12"/>
        <v>WO</v>
      </c>
      <c r="Z24" s="64" t="s">
        <v>42</v>
      </c>
      <c r="AA24" s="64" t="s">
        <v>42</v>
      </c>
      <c r="AB24" s="64" t="s">
        <v>42</v>
      </c>
      <c r="AC24" s="64" t="s">
        <v>42</v>
      </c>
      <c r="AD24" s="64" t="s">
        <v>42</v>
      </c>
      <c r="AE24" s="64" t="s">
        <v>42</v>
      </c>
      <c r="AF24" s="64" t="str">
        <f t="shared" si="11"/>
        <v>WO</v>
      </c>
      <c r="AG24" s="64" t="s">
        <v>42</v>
      </c>
      <c r="AH24" s="64" t="s">
        <v>42</v>
      </c>
      <c r="AI24" s="64" t="s">
        <v>42</v>
      </c>
      <c r="AJ24" s="64" t="s">
        <v>42</v>
      </c>
      <c r="AK24" s="64" t="s">
        <v>42</v>
      </c>
      <c r="AL24" s="64"/>
      <c r="AM24" s="64"/>
      <c r="AN24" s="73"/>
      <c r="AO24" s="39"/>
      <c r="AP24" s="28">
        <v>18</v>
      </c>
      <c r="AQ24" s="21">
        <v>1018</v>
      </c>
      <c r="AR24" s="33" t="str">
        <f t="shared" si="4"/>
        <v>February</v>
      </c>
      <c r="AS24" s="21" t="s">
        <v>20</v>
      </c>
      <c r="AT24" s="29">
        <f t="shared" si="5"/>
        <v>22</v>
      </c>
      <c r="AU24" s="29">
        <f t="shared" si="6"/>
        <v>0</v>
      </c>
      <c r="AV24" s="29">
        <f t="shared" si="7"/>
        <v>2</v>
      </c>
      <c r="AW24" s="29">
        <f t="shared" si="8"/>
        <v>4</v>
      </c>
      <c r="AX24" s="30">
        <f t="shared" si="10"/>
        <v>28</v>
      </c>
      <c r="AY24" s="29">
        <f>FEBReport[[#This Row],[Days]]-FEBReport[[#This Row],[Adsent]]</f>
        <v>28</v>
      </c>
      <c r="AZ24" s="31">
        <v>62000</v>
      </c>
      <c r="BA24" s="32">
        <f>FEBReport[[#This Row],[Salary]]/FEBReport[[#This Row],[Days]]</f>
        <v>2214.2857142857142</v>
      </c>
      <c r="BB24" s="31">
        <f>FEBReport[[#This Row],[Perday salary]]*FEBReport[[#This Row],[Adsent]]</f>
        <v>0</v>
      </c>
      <c r="BC24" s="31">
        <f>FEBReport[[#This Row],[Salary]]-FEBReport[[#This Row],[Detuction ]]</f>
        <v>62000</v>
      </c>
      <c r="BD24" s="29"/>
      <c r="BE24" s="39"/>
      <c r="BF24" s="37"/>
      <c r="BG24" s="37"/>
      <c r="BH24" s="37"/>
      <c r="BI24" s="37"/>
      <c r="BJ24" s="37"/>
      <c r="BK24" s="37"/>
    </row>
    <row r="25" spans="1:63" ht="15.6" x14ac:dyDescent="0.3">
      <c r="D25" s="37"/>
      <c r="E25" s="41"/>
      <c r="F25" s="20">
        <v>19</v>
      </c>
      <c r="G25" s="21">
        <v>1019</v>
      </c>
      <c r="H25" s="22" t="s">
        <v>21</v>
      </c>
      <c r="I25" s="61">
        <f t="shared" si="9"/>
        <v>4</v>
      </c>
      <c r="J25" s="64" t="s">
        <v>42</v>
      </c>
      <c r="K25" s="64" t="str">
        <f t="shared" si="12"/>
        <v>WO</v>
      </c>
      <c r="L25" s="64" t="s">
        <v>42</v>
      </c>
      <c r="M25" s="64" t="s">
        <v>42</v>
      </c>
      <c r="N25" s="64" t="s">
        <v>44</v>
      </c>
      <c r="O25" s="64" t="s">
        <v>42</v>
      </c>
      <c r="P25" s="64" t="s">
        <v>42</v>
      </c>
      <c r="Q25" s="64" t="s">
        <v>42</v>
      </c>
      <c r="R25" s="64" t="str">
        <f t="shared" si="12"/>
        <v>WO</v>
      </c>
      <c r="S25" s="64" t="s">
        <v>42</v>
      </c>
      <c r="T25" s="64" t="s">
        <v>42</v>
      </c>
      <c r="U25" s="64" t="s">
        <v>42</v>
      </c>
      <c r="V25" s="64" t="s">
        <v>42</v>
      </c>
      <c r="W25" s="64" t="s">
        <v>44</v>
      </c>
      <c r="X25" s="64" t="s">
        <v>42</v>
      </c>
      <c r="Y25" s="64" t="str">
        <f t="shared" si="12"/>
        <v>WO</v>
      </c>
      <c r="Z25" s="64" t="s">
        <v>42</v>
      </c>
      <c r="AA25" s="64" t="s">
        <v>42</v>
      </c>
      <c r="AB25" s="64" t="s">
        <v>42</v>
      </c>
      <c r="AC25" s="64" t="s">
        <v>42</v>
      </c>
      <c r="AD25" s="64" t="s">
        <v>42</v>
      </c>
      <c r="AE25" s="64" t="s">
        <v>42</v>
      </c>
      <c r="AF25" s="64" t="str">
        <f t="shared" si="11"/>
        <v>WO</v>
      </c>
      <c r="AG25" s="64" t="s">
        <v>42</v>
      </c>
      <c r="AH25" s="64" t="s">
        <v>42</v>
      </c>
      <c r="AI25" s="64" t="s">
        <v>42</v>
      </c>
      <c r="AJ25" s="64" t="s">
        <v>42</v>
      </c>
      <c r="AK25" s="64" t="s">
        <v>42</v>
      </c>
      <c r="AL25" s="64"/>
      <c r="AM25" s="64"/>
      <c r="AN25" s="73"/>
      <c r="AO25" s="39"/>
      <c r="AP25" s="28">
        <v>19</v>
      </c>
      <c r="AQ25" s="21">
        <v>1019</v>
      </c>
      <c r="AR25" s="33" t="str">
        <f t="shared" si="4"/>
        <v>February</v>
      </c>
      <c r="AS25" s="21" t="s">
        <v>21</v>
      </c>
      <c r="AT25" s="29">
        <f t="shared" si="5"/>
        <v>22</v>
      </c>
      <c r="AU25" s="29">
        <f t="shared" si="6"/>
        <v>0</v>
      </c>
      <c r="AV25" s="29">
        <f t="shared" si="7"/>
        <v>2</v>
      </c>
      <c r="AW25" s="29">
        <f t="shared" si="8"/>
        <v>4</v>
      </c>
      <c r="AX25" s="30">
        <f t="shared" si="10"/>
        <v>28</v>
      </c>
      <c r="AY25" s="29">
        <f>FEBReport[[#This Row],[Days]]-FEBReport[[#This Row],[Adsent]]</f>
        <v>28</v>
      </c>
      <c r="AZ25" s="31">
        <v>41000</v>
      </c>
      <c r="BA25" s="32">
        <f>FEBReport[[#This Row],[Salary]]/FEBReport[[#This Row],[Days]]</f>
        <v>1464.2857142857142</v>
      </c>
      <c r="BB25" s="31">
        <f>FEBReport[[#This Row],[Perday salary]]*FEBReport[[#This Row],[Adsent]]</f>
        <v>0</v>
      </c>
      <c r="BC25" s="31">
        <f>FEBReport[[#This Row],[Salary]]-FEBReport[[#This Row],[Detuction ]]</f>
        <v>41000</v>
      </c>
      <c r="BD25" s="29"/>
      <c r="BE25" s="39"/>
      <c r="BF25" s="37"/>
      <c r="BG25" s="37"/>
      <c r="BH25" s="37"/>
      <c r="BI25" s="37"/>
      <c r="BJ25" s="37"/>
      <c r="BK25" s="37"/>
    </row>
    <row r="26" spans="1:63" ht="16.2" thickBot="1" x14ac:dyDescent="0.35">
      <c r="D26" s="37"/>
      <c r="E26" s="41"/>
      <c r="F26" s="24">
        <v>20</v>
      </c>
      <c r="G26" s="25">
        <v>1020</v>
      </c>
      <c r="H26" s="26" t="s">
        <v>22</v>
      </c>
      <c r="I26" s="62">
        <f t="shared" si="9"/>
        <v>4</v>
      </c>
      <c r="J26" s="65" t="s">
        <v>42</v>
      </c>
      <c r="K26" s="65" t="str">
        <f t="shared" si="12"/>
        <v>WO</v>
      </c>
      <c r="L26" s="65" t="s">
        <v>42</v>
      </c>
      <c r="M26" s="65" t="s">
        <v>42</v>
      </c>
      <c r="N26" s="65" t="s">
        <v>44</v>
      </c>
      <c r="O26" s="65" t="s">
        <v>42</v>
      </c>
      <c r="P26" s="65" t="s">
        <v>42</v>
      </c>
      <c r="Q26" s="65" t="s">
        <v>42</v>
      </c>
      <c r="R26" s="65" t="str">
        <f t="shared" si="12"/>
        <v>WO</v>
      </c>
      <c r="S26" s="65" t="s">
        <v>42</v>
      </c>
      <c r="T26" s="65" t="s">
        <v>42</v>
      </c>
      <c r="U26" s="65" t="s">
        <v>42</v>
      </c>
      <c r="V26" s="65" t="s">
        <v>42</v>
      </c>
      <c r="W26" s="65" t="s">
        <v>44</v>
      </c>
      <c r="X26" s="65" t="s">
        <v>42</v>
      </c>
      <c r="Y26" s="65" t="str">
        <f t="shared" si="12"/>
        <v>WO</v>
      </c>
      <c r="Z26" s="65" t="s">
        <v>42</v>
      </c>
      <c r="AA26" s="65" t="s">
        <v>42</v>
      </c>
      <c r="AB26" s="65" t="s">
        <v>42</v>
      </c>
      <c r="AC26" s="65" t="s">
        <v>42</v>
      </c>
      <c r="AD26" s="65" t="s">
        <v>42</v>
      </c>
      <c r="AE26" s="65" t="s">
        <v>42</v>
      </c>
      <c r="AF26" s="65" t="str">
        <f t="shared" si="11"/>
        <v>WO</v>
      </c>
      <c r="AG26" s="65" t="s">
        <v>42</v>
      </c>
      <c r="AH26" s="65" t="s">
        <v>42</v>
      </c>
      <c r="AI26" s="65" t="s">
        <v>42</v>
      </c>
      <c r="AJ26" s="65" t="s">
        <v>42</v>
      </c>
      <c r="AK26" s="65" t="s">
        <v>42</v>
      </c>
      <c r="AL26" s="65"/>
      <c r="AM26" s="65"/>
      <c r="AN26" s="74"/>
      <c r="AO26" s="39"/>
      <c r="AP26" s="28">
        <v>20</v>
      </c>
      <c r="AQ26" s="21">
        <v>1020</v>
      </c>
      <c r="AR26" s="33" t="str">
        <f t="shared" si="4"/>
        <v>February</v>
      </c>
      <c r="AS26" s="21" t="s">
        <v>22</v>
      </c>
      <c r="AT26" s="29">
        <f t="shared" si="5"/>
        <v>22</v>
      </c>
      <c r="AU26" s="29">
        <f t="shared" si="6"/>
        <v>0</v>
      </c>
      <c r="AV26" s="29">
        <f t="shared" si="7"/>
        <v>2</v>
      </c>
      <c r="AW26" s="29">
        <f t="shared" si="8"/>
        <v>4</v>
      </c>
      <c r="AX26" s="30">
        <f t="shared" si="10"/>
        <v>28</v>
      </c>
      <c r="AY26" s="29">
        <f>FEBReport[[#This Row],[Days]]-FEBReport[[#This Row],[Adsent]]</f>
        <v>28</v>
      </c>
      <c r="AZ26" s="31">
        <v>30000</v>
      </c>
      <c r="BA26" s="32">
        <f>FEBReport[[#This Row],[Salary]]/FEBReport[[#This Row],[Days]]</f>
        <v>1071.4285714285713</v>
      </c>
      <c r="BB26" s="31">
        <f>FEBReport[[#This Row],[Perday salary]]*FEBReport[[#This Row],[Adsent]]</f>
        <v>0</v>
      </c>
      <c r="BC26" s="31">
        <f>FEBReport[[#This Row],[Salary]]-FEBReport[[#This Row],[Detuction ]]</f>
        <v>30000</v>
      </c>
      <c r="BD26" s="29"/>
      <c r="BE26" s="39"/>
      <c r="BF26" s="37"/>
      <c r="BG26" s="37"/>
      <c r="BH26" s="37"/>
      <c r="BI26" s="37"/>
      <c r="BJ26" s="37"/>
      <c r="BK26" s="37"/>
    </row>
    <row r="27" spans="1:63" x14ac:dyDescent="0.3">
      <c r="D27" s="37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  <c r="AA27" s="41"/>
      <c r="AB27" s="41"/>
      <c r="AC27" s="41"/>
      <c r="AD27" s="41"/>
      <c r="AE27" s="41"/>
      <c r="AF27" s="41"/>
      <c r="AG27" s="41"/>
      <c r="AH27" s="41"/>
      <c r="AI27" s="41"/>
      <c r="AJ27" s="41"/>
      <c r="AK27" s="41"/>
      <c r="AL27" s="41"/>
      <c r="AM27" s="41"/>
      <c r="AN27" s="41"/>
      <c r="AO27" s="39"/>
      <c r="AP27" s="39"/>
      <c r="AQ27" s="39"/>
      <c r="AR27" s="39"/>
      <c r="AS27" s="39"/>
      <c r="AT27" s="39"/>
      <c r="AU27" s="39"/>
      <c r="AV27" s="39"/>
      <c r="AW27" s="39"/>
      <c r="AX27" s="39"/>
      <c r="AY27" s="39"/>
      <c r="AZ27" s="39"/>
      <c r="BA27" s="39"/>
      <c r="BB27" s="39"/>
      <c r="BC27" s="39"/>
      <c r="BD27" s="39"/>
      <c r="BE27" s="39"/>
      <c r="BF27" s="37"/>
      <c r="BG27" s="37"/>
      <c r="BH27" s="37"/>
      <c r="BI27" s="37"/>
      <c r="BJ27" s="37"/>
      <c r="BK27" s="37"/>
    </row>
    <row r="28" spans="1:63" x14ac:dyDescent="0.3"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  <c r="AA28" s="37"/>
      <c r="AB28" s="37"/>
      <c r="AC28" s="37"/>
      <c r="AD28" s="37"/>
      <c r="AE28" s="37"/>
      <c r="AF28" s="37"/>
      <c r="AG28" s="37"/>
      <c r="AH28" s="37"/>
      <c r="AI28" s="37"/>
      <c r="AJ28" s="37"/>
      <c r="AK28" s="37"/>
      <c r="AL28" s="37"/>
      <c r="AM28" s="37"/>
      <c r="AN28" s="37"/>
      <c r="AO28" s="37"/>
      <c r="AP28" s="37"/>
      <c r="AQ28" s="37"/>
      <c r="AR28" s="37"/>
      <c r="AS28" s="37"/>
      <c r="AT28" s="37"/>
      <c r="AU28" s="37"/>
      <c r="AV28" s="37"/>
      <c r="AW28" s="37"/>
      <c r="AX28" s="37"/>
      <c r="AY28" s="37"/>
      <c r="AZ28" s="37"/>
      <c r="BA28" s="37"/>
      <c r="BB28" s="37"/>
      <c r="BC28" s="37"/>
      <c r="BD28" s="37"/>
      <c r="BE28" s="37"/>
      <c r="BF28" s="37"/>
      <c r="BG28" s="37"/>
      <c r="BH28" s="37"/>
      <c r="BI28" s="37"/>
      <c r="BJ28" s="37"/>
      <c r="BK28" s="37"/>
    </row>
    <row r="29" spans="1:63" x14ac:dyDescent="0.3"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  <c r="AA29" s="37"/>
      <c r="AB29" s="37"/>
      <c r="AC29" s="37"/>
      <c r="AD29" s="37"/>
      <c r="AE29" s="37"/>
      <c r="AF29" s="37"/>
      <c r="AG29" s="37"/>
      <c r="AH29" s="37"/>
      <c r="AI29" s="37"/>
      <c r="AJ29" s="37"/>
      <c r="AK29" s="37"/>
      <c r="AL29" s="37"/>
      <c r="AM29" s="37"/>
      <c r="AN29" s="37"/>
      <c r="AO29" s="37"/>
      <c r="AP29" s="37"/>
      <c r="AQ29" s="37"/>
      <c r="AR29" s="37"/>
      <c r="AS29" s="37"/>
      <c r="AT29" s="37"/>
      <c r="AU29" s="37"/>
      <c r="AV29" s="37"/>
      <c r="AW29" s="37"/>
      <c r="AX29" s="37"/>
      <c r="AY29" s="37"/>
      <c r="AZ29" s="37"/>
      <c r="BA29" s="37"/>
      <c r="BB29" s="37"/>
      <c r="BC29" s="37"/>
      <c r="BD29" s="37"/>
      <c r="BE29" s="37"/>
      <c r="BF29" s="37"/>
      <c r="BG29" s="37"/>
      <c r="BH29" s="37"/>
      <c r="BI29" s="37"/>
      <c r="BJ29" s="37"/>
      <c r="BK29" s="37"/>
    </row>
    <row r="30" spans="1:63" x14ac:dyDescent="0.3">
      <c r="A30" s="37"/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  <c r="AA30" s="37"/>
      <c r="AB30" s="37"/>
      <c r="AC30" s="37"/>
      <c r="AD30" s="37"/>
      <c r="AE30" s="37"/>
      <c r="AF30" s="37"/>
      <c r="AG30" s="37"/>
      <c r="AH30" s="37"/>
      <c r="AI30" s="37"/>
      <c r="AJ30" s="37"/>
      <c r="AK30" s="37"/>
      <c r="AL30" s="37"/>
      <c r="AM30" s="37"/>
      <c r="AN30" s="37"/>
      <c r="AO30" s="37"/>
      <c r="AP30" s="37"/>
      <c r="AQ30" s="37"/>
      <c r="AR30" s="37"/>
      <c r="AS30" s="37"/>
      <c r="AT30" s="37"/>
      <c r="AU30" s="37"/>
      <c r="AV30" s="37"/>
      <c r="AW30" s="37"/>
      <c r="AX30" s="37"/>
      <c r="AY30" s="37"/>
      <c r="AZ30" s="37"/>
      <c r="BA30" s="37"/>
      <c r="BB30" s="37"/>
      <c r="BC30" s="37"/>
      <c r="BD30" s="37"/>
      <c r="BE30" s="37"/>
      <c r="BF30" s="37"/>
      <c r="BG30" s="37"/>
      <c r="BH30" s="37"/>
      <c r="BI30" s="37"/>
      <c r="BJ30" s="37"/>
      <c r="BK30" s="37"/>
    </row>
    <row r="31" spans="1:63" x14ac:dyDescent="0.3">
      <c r="A31" s="37"/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  <c r="AA31" s="37"/>
      <c r="AB31" s="37"/>
      <c r="AC31" s="37"/>
      <c r="AD31" s="37"/>
      <c r="AE31" s="37"/>
      <c r="AF31" s="37"/>
      <c r="AG31" s="37"/>
      <c r="AH31" s="37"/>
      <c r="AI31" s="37"/>
      <c r="AJ31" s="37"/>
      <c r="AK31" s="37"/>
      <c r="AL31" s="37"/>
      <c r="AM31" s="37"/>
      <c r="AN31" s="37"/>
      <c r="AO31" s="37"/>
      <c r="AP31" s="37"/>
      <c r="AQ31" s="37"/>
      <c r="AR31" s="37"/>
      <c r="AS31" s="37"/>
      <c r="AT31" s="37"/>
      <c r="AU31" s="37"/>
      <c r="AV31" s="37"/>
      <c r="AW31" s="37"/>
      <c r="AX31" s="37"/>
      <c r="AY31" s="37"/>
      <c r="AZ31" s="37"/>
      <c r="BA31" s="37"/>
      <c r="BB31" s="37"/>
      <c r="BC31" s="37"/>
      <c r="BD31" s="37"/>
      <c r="BE31" s="37"/>
      <c r="BF31" s="37"/>
      <c r="BG31" s="37"/>
      <c r="BH31" s="37"/>
      <c r="BI31" s="37"/>
      <c r="BJ31" s="37"/>
      <c r="BK31" s="37"/>
    </row>
    <row r="32" spans="1:63" x14ac:dyDescent="0.3">
      <c r="A32" s="37"/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  <c r="AA32" s="37"/>
      <c r="AB32" s="37"/>
      <c r="AC32" s="37"/>
      <c r="AD32" s="37"/>
      <c r="AE32" s="37"/>
      <c r="AF32" s="37"/>
      <c r="AG32" s="37"/>
      <c r="AH32" s="37"/>
      <c r="AI32" s="37"/>
      <c r="AJ32" s="37"/>
      <c r="AK32" s="37"/>
      <c r="AL32" s="37"/>
      <c r="AM32" s="37"/>
      <c r="AN32" s="37"/>
      <c r="AO32" s="37"/>
      <c r="AP32" s="37"/>
      <c r="AQ32" s="37"/>
      <c r="AR32" s="37"/>
      <c r="AS32" s="37"/>
      <c r="AT32" s="37"/>
      <c r="AU32" s="37"/>
      <c r="AV32" s="37"/>
      <c r="AW32" s="37"/>
      <c r="AX32" s="37"/>
      <c r="AY32" s="37"/>
      <c r="AZ32" s="37"/>
      <c r="BA32" s="37"/>
      <c r="BB32" s="37"/>
      <c r="BC32" s="37"/>
      <c r="BD32" s="37"/>
      <c r="BE32" s="37"/>
      <c r="BF32" s="37"/>
      <c r="BG32" s="37"/>
      <c r="BH32" s="37"/>
      <c r="BI32" s="37"/>
      <c r="BJ32" s="37"/>
      <c r="BK32" s="37"/>
    </row>
    <row r="33" spans="1:63" x14ac:dyDescent="0.3">
      <c r="A33" s="37"/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  <c r="AA33" s="37"/>
      <c r="AB33" s="37"/>
      <c r="AC33" s="37"/>
      <c r="AD33" s="37"/>
      <c r="AE33" s="37"/>
      <c r="AF33" s="37"/>
      <c r="AG33" s="37"/>
      <c r="AH33" s="37"/>
      <c r="AI33" s="37"/>
      <c r="AJ33" s="37"/>
      <c r="AK33" s="37"/>
      <c r="AL33" s="37"/>
      <c r="AM33" s="37"/>
      <c r="AN33" s="37"/>
      <c r="AO33" s="37"/>
      <c r="AP33" s="37"/>
      <c r="AQ33" s="37"/>
      <c r="AR33" s="37"/>
      <c r="AS33" s="37"/>
      <c r="AT33" s="37"/>
      <c r="AU33" s="37"/>
      <c r="AV33" s="37"/>
      <c r="AW33" s="37"/>
      <c r="AX33" s="37"/>
      <c r="AY33" s="37"/>
      <c r="AZ33" s="37"/>
      <c r="BA33" s="37"/>
      <c r="BB33" s="37"/>
      <c r="BC33" s="37"/>
      <c r="BD33" s="37"/>
      <c r="BE33" s="37"/>
      <c r="BF33" s="37"/>
      <c r="BG33" s="37"/>
      <c r="BH33" s="37"/>
      <c r="BI33" s="37"/>
      <c r="BJ33" s="37"/>
      <c r="BK33" s="37"/>
    </row>
    <row r="34" spans="1:63" x14ac:dyDescent="0.3">
      <c r="A34" s="37"/>
      <c r="B34" s="37"/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  <c r="AA34" s="37"/>
      <c r="AB34" s="37"/>
      <c r="AC34" s="37"/>
      <c r="AD34" s="37"/>
      <c r="AE34" s="37"/>
      <c r="AF34" s="37"/>
      <c r="AG34" s="37"/>
      <c r="AH34" s="37"/>
      <c r="AI34" s="37"/>
      <c r="AJ34" s="37"/>
      <c r="AK34" s="37"/>
      <c r="AL34" s="37"/>
      <c r="AM34" s="37"/>
      <c r="AN34" s="37"/>
      <c r="AO34" s="37"/>
      <c r="AP34" s="37"/>
      <c r="AQ34" s="37"/>
      <c r="AR34" s="37"/>
      <c r="AS34" s="37"/>
      <c r="AT34" s="37"/>
      <c r="AU34" s="37"/>
      <c r="AV34" s="37"/>
      <c r="AW34" s="37"/>
      <c r="AX34" s="37"/>
      <c r="AY34" s="37"/>
      <c r="AZ34" s="37"/>
      <c r="BA34" s="37"/>
      <c r="BB34" s="37"/>
      <c r="BC34" s="37"/>
      <c r="BD34" s="37"/>
      <c r="BE34" s="37"/>
      <c r="BF34" s="37"/>
      <c r="BG34" s="37"/>
      <c r="BH34" s="37"/>
      <c r="BI34" s="37"/>
      <c r="BJ34" s="37"/>
      <c r="BK34" s="37"/>
    </row>
    <row r="35" spans="1:63" x14ac:dyDescent="0.3">
      <c r="A35" s="37"/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  <c r="AA35" s="37"/>
      <c r="AB35" s="37"/>
      <c r="AC35" s="37"/>
      <c r="AD35" s="37"/>
      <c r="AE35" s="37"/>
      <c r="AF35" s="37"/>
      <c r="AG35" s="37"/>
      <c r="AH35" s="37"/>
      <c r="AI35" s="37"/>
      <c r="AJ35" s="37"/>
      <c r="AK35" s="37"/>
      <c r="AL35" s="37"/>
      <c r="AM35" s="37"/>
      <c r="AN35" s="37"/>
      <c r="AO35" s="37"/>
      <c r="AP35" s="37"/>
      <c r="AQ35" s="37"/>
      <c r="AR35" s="37"/>
      <c r="AS35" s="37"/>
      <c r="AT35" s="37"/>
      <c r="AU35" s="37"/>
      <c r="AV35" s="37"/>
      <c r="AW35" s="37"/>
      <c r="AX35" s="37"/>
      <c r="AY35" s="37"/>
      <c r="AZ35" s="37"/>
      <c r="BA35" s="37"/>
      <c r="BB35" s="37"/>
      <c r="BC35" s="37"/>
      <c r="BD35" s="37"/>
      <c r="BE35" s="37"/>
      <c r="BF35" s="37"/>
      <c r="BG35" s="37"/>
      <c r="BH35" s="37"/>
      <c r="BI35" s="37"/>
      <c r="BJ35" s="37"/>
      <c r="BK35" s="37"/>
    </row>
    <row r="36" spans="1:63" x14ac:dyDescent="0.3">
      <c r="A36" s="37"/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  <c r="AA36" s="37"/>
      <c r="AB36" s="37"/>
      <c r="AC36" s="37"/>
      <c r="AD36" s="37"/>
      <c r="AE36" s="37"/>
      <c r="AF36" s="37"/>
      <c r="AG36" s="37"/>
      <c r="AH36" s="37"/>
      <c r="AI36" s="37"/>
      <c r="AJ36" s="37"/>
      <c r="AK36" s="37"/>
      <c r="AL36" s="37"/>
      <c r="AM36" s="37"/>
      <c r="AN36" s="37"/>
      <c r="AO36" s="37"/>
      <c r="AP36" s="37"/>
      <c r="AQ36" s="37"/>
      <c r="AR36" s="37"/>
      <c r="AS36" s="37"/>
      <c r="AT36" s="37"/>
      <c r="AU36" s="37"/>
      <c r="AV36" s="37"/>
      <c r="AW36" s="37"/>
      <c r="AX36" s="37"/>
      <c r="AY36" s="37"/>
      <c r="AZ36" s="37"/>
      <c r="BA36" s="37"/>
      <c r="BB36" s="37"/>
      <c r="BC36" s="37"/>
      <c r="BD36" s="37"/>
      <c r="BE36" s="37"/>
      <c r="BF36" s="37"/>
      <c r="BG36" s="37"/>
      <c r="BH36" s="37"/>
      <c r="BI36" s="37"/>
      <c r="BJ36" s="37"/>
      <c r="BK36" s="37"/>
    </row>
    <row r="37" spans="1:63" x14ac:dyDescent="0.3">
      <c r="A37" s="37"/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37"/>
      <c r="AB37" s="37"/>
      <c r="AC37" s="37"/>
      <c r="AD37" s="37"/>
      <c r="AE37" s="37"/>
      <c r="AF37" s="37"/>
      <c r="AG37" s="37"/>
      <c r="AH37" s="37"/>
      <c r="AI37" s="37"/>
      <c r="AJ37" s="37"/>
      <c r="AK37" s="37"/>
      <c r="AL37" s="37"/>
      <c r="AM37" s="37"/>
      <c r="AN37" s="37"/>
      <c r="AO37" s="37"/>
      <c r="AP37" s="37"/>
      <c r="AQ37" s="37"/>
      <c r="AR37" s="37"/>
      <c r="AS37" s="37"/>
      <c r="AT37" s="37"/>
      <c r="AU37" s="37"/>
      <c r="AV37" s="37"/>
      <c r="AW37" s="37"/>
      <c r="AX37" s="37"/>
      <c r="AY37" s="37"/>
      <c r="AZ37" s="37"/>
      <c r="BA37" s="37"/>
      <c r="BB37" s="37"/>
      <c r="BC37" s="37"/>
      <c r="BD37" s="37"/>
      <c r="BE37" s="37"/>
      <c r="BF37" s="37"/>
      <c r="BG37" s="37"/>
      <c r="BH37" s="37"/>
      <c r="BI37" s="37"/>
      <c r="BJ37" s="37"/>
      <c r="BK37" s="37"/>
    </row>
    <row r="38" spans="1:63" x14ac:dyDescent="0.3">
      <c r="A38" s="37"/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  <c r="AA38" s="37"/>
      <c r="AB38" s="37"/>
      <c r="AC38" s="37"/>
      <c r="AD38" s="37"/>
      <c r="AE38" s="37"/>
      <c r="AF38" s="37"/>
      <c r="AG38" s="37"/>
      <c r="AH38" s="37"/>
      <c r="AI38" s="37"/>
      <c r="AJ38" s="37"/>
      <c r="AK38" s="37"/>
      <c r="AL38" s="37"/>
      <c r="AM38" s="37"/>
      <c r="AN38" s="37"/>
      <c r="AO38" s="37"/>
      <c r="AP38" s="37"/>
      <c r="AQ38" s="37"/>
      <c r="AR38" s="37"/>
      <c r="AS38" s="37"/>
      <c r="AT38" s="37"/>
      <c r="AU38" s="37"/>
      <c r="AV38" s="37"/>
      <c r="AW38" s="37"/>
      <c r="AX38" s="37"/>
      <c r="AY38" s="37"/>
      <c r="AZ38" s="37"/>
      <c r="BA38" s="37"/>
      <c r="BB38" s="37"/>
      <c r="BC38" s="37"/>
      <c r="BD38" s="37"/>
      <c r="BE38" s="37"/>
      <c r="BF38" s="37"/>
      <c r="BG38" s="37"/>
      <c r="BH38" s="37"/>
      <c r="BI38" s="37"/>
      <c r="BJ38" s="37"/>
      <c r="BK38" s="37"/>
    </row>
    <row r="39" spans="1:63" x14ac:dyDescent="0.3">
      <c r="A39" s="37"/>
      <c r="B39" s="37"/>
      <c r="C39" s="37"/>
      <c r="D39" s="37"/>
      <c r="E39" s="37"/>
      <c r="F39" s="37"/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  <c r="AA39" s="37"/>
      <c r="AB39" s="37"/>
      <c r="AC39" s="37"/>
      <c r="AD39" s="37"/>
      <c r="AE39" s="37"/>
      <c r="AF39" s="37"/>
      <c r="AG39" s="37"/>
      <c r="AH39" s="37"/>
      <c r="AI39" s="37"/>
      <c r="AJ39" s="37"/>
      <c r="AK39" s="37"/>
      <c r="AL39" s="37"/>
      <c r="AM39" s="37"/>
      <c r="AN39" s="37"/>
      <c r="AO39" s="37"/>
      <c r="AP39" s="37"/>
      <c r="AQ39" s="37"/>
      <c r="AR39" s="37"/>
      <c r="AS39" s="37"/>
      <c r="AT39" s="37"/>
      <c r="AU39" s="37"/>
      <c r="AV39" s="37"/>
      <c r="AW39" s="37"/>
      <c r="AX39" s="37"/>
      <c r="AY39" s="37"/>
      <c r="AZ39" s="37"/>
      <c r="BA39" s="37"/>
      <c r="BB39" s="37"/>
      <c r="BC39" s="37"/>
      <c r="BD39" s="37"/>
      <c r="BE39" s="37"/>
      <c r="BF39" s="37"/>
      <c r="BG39" s="37"/>
      <c r="BH39" s="37"/>
      <c r="BI39" s="37"/>
      <c r="BJ39" s="37"/>
      <c r="BK39" s="37"/>
    </row>
    <row r="40" spans="1:63" x14ac:dyDescent="0.3">
      <c r="A40" s="37"/>
      <c r="B40" s="37"/>
      <c r="C40" s="37"/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  <c r="AA40" s="37"/>
      <c r="AB40" s="37"/>
      <c r="AC40" s="37"/>
      <c r="AD40" s="37"/>
      <c r="AE40" s="37"/>
      <c r="AF40" s="37"/>
      <c r="AG40" s="37"/>
      <c r="AH40" s="37"/>
      <c r="AI40" s="37"/>
      <c r="AJ40" s="37"/>
      <c r="AK40" s="37"/>
      <c r="AL40" s="37"/>
      <c r="AM40" s="37"/>
      <c r="AN40" s="37"/>
      <c r="AO40" s="37"/>
      <c r="AP40" s="37"/>
      <c r="AQ40" s="37"/>
      <c r="AR40" s="37"/>
      <c r="AS40" s="37"/>
      <c r="AT40" s="37"/>
      <c r="AU40" s="37"/>
      <c r="AV40" s="37"/>
      <c r="AW40" s="37"/>
      <c r="AX40" s="37"/>
      <c r="AY40" s="37"/>
      <c r="AZ40" s="37"/>
      <c r="BA40" s="37"/>
      <c r="BB40" s="37"/>
      <c r="BC40" s="37"/>
      <c r="BD40" s="37"/>
      <c r="BE40" s="37"/>
      <c r="BF40" s="37"/>
      <c r="BG40" s="37"/>
      <c r="BH40" s="37"/>
      <c r="BI40" s="37"/>
      <c r="BJ40" s="37"/>
      <c r="BK40" s="37"/>
    </row>
    <row r="41" spans="1:63" x14ac:dyDescent="0.3">
      <c r="A41" s="37"/>
      <c r="B41" s="37"/>
      <c r="C41" s="37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  <c r="AA41" s="37"/>
      <c r="AB41" s="37"/>
      <c r="AC41" s="37"/>
      <c r="AD41" s="37"/>
      <c r="AE41" s="37"/>
      <c r="AF41" s="37"/>
      <c r="AG41" s="37"/>
      <c r="AH41" s="37"/>
      <c r="AI41" s="37"/>
      <c r="AJ41" s="37"/>
      <c r="AK41" s="37"/>
      <c r="AL41" s="37"/>
      <c r="AM41" s="37"/>
      <c r="AN41" s="37"/>
      <c r="AO41" s="37"/>
      <c r="AP41" s="37"/>
      <c r="AQ41" s="37"/>
      <c r="AR41" s="37"/>
      <c r="AS41" s="37"/>
      <c r="AT41" s="37"/>
      <c r="AU41" s="37"/>
      <c r="AV41" s="37"/>
      <c r="AW41" s="37"/>
      <c r="AX41" s="37"/>
      <c r="AY41" s="37"/>
      <c r="AZ41" s="37"/>
      <c r="BA41" s="37"/>
      <c r="BB41" s="37"/>
      <c r="BC41" s="37"/>
      <c r="BD41" s="37"/>
      <c r="BE41" s="37"/>
      <c r="BF41" s="37"/>
      <c r="BG41" s="37"/>
      <c r="BH41" s="37"/>
      <c r="BI41" s="37"/>
      <c r="BJ41" s="37"/>
      <c r="BK41" s="37"/>
    </row>
    <row r="42" spans="1:63" x14ac:dyDescent="0.3">
      <c r="A42" s="37"/>
      <c r="B42" s="37"/>
      <c r="C42" s="37"/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  <c r="AA42" s="37"/>
      <c r="AB42" s="37"/>
      <c r="AC42" s="37"/>
      <c r="AD42" s="37"/>
      <c r="AE42" s="37"/>
      <c r="AF42" s="37"/>
      <c r="AG42" s="37"/>
      <c r="AH42" s="37"/>
      <c r="AI42" s="37"/>
      <c r="AJ42" s="37"/>
      <c r="AK42" s="37"/>
      <c r="AL42" s="37"/>
      <c r="AM42" s="37"/>
      <c r="AN42" s="37"/>
      <c r="AO42" s="37"/>
      <c r="AP42" s="37"/>
      <c r="AQ42" s="37"/>
      <c r="AR42" s="37"/>
      <c r="AS42" s="37"/>
      <c r="AT42" s="37"/>
      <c r="AU42" s="37"/>
      <c r="AV42" s="37"/>
      <c r="AW42" s="37"/>
      <c r="AX42" s="37"/>
      <c r="AY42" s="37"/>
      <c r="AZ42" s="37"/>
      <c r="BA42" s="37"/>
      <c r="BB42" s="37"/>
      <c r="BC42" s="37"/>
      <c r="BD42" s="37"/>
      <c r="BE42" s="37"/>
      <c r="BF42" s="37"/>
      <c r="BG42" s="37"/>
      <c r="BH42" s="37"/>
      <c r="BI42" s="37"/>
      <c r="BJ42" s="37"/>
      <c r="BK42" s="37"/>
    </row>
    <row r="43" spans="1:63" x14ac:dyDescent="0.3">
      <c r="A43" s="37"/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  <c r="AA43" s="37"/>
      <c r="AB43" s="37"/>
      <c r="AC43" s="37"/>
      <c r="AD43" s="37"/>
      <c r="AE43" s="37"/>
      <c r="AF43" s="37"/>
      <c r="AG43" s="37"/>
      <c r="AH43" s="37"/>
      <c r="AI43" s="37"/>
      <c r="AJ43" s="37"/>
      <c r="AK43" s="37"/>
      <c r="AL43" s="37"/>
      <c r="AM43" s="37"/>
      <c r="AN43" s="37"/>
      <c r="AO43" s="37"/>
      <c r="AP43" s="37"/>
      <c r="AQ43" s="37"/>
      <c r="AR43" s="37"/>
      <c r="AS43" s="37"/>
      <c r="AT43" s="37"/>
      <c r="AU43" s="37"/>
      <c r="AV43" s="37"/>
      <c r="AW43" s="37"/>
      <c r="AX43" s="37"/>
      <c r="AY43" s="37"/>
      <c r="AZ43" s="37"/>
      <c r="BA43" s="37"/>
      <c r="BB43" s="37"/>
      <c r="BC43" s="37"/>
      <c r="BD43" s="37"/>
      <c r="BE43" s="37"/>
      <c r="BF43" s="37"/>
      <c r="BG43" s="37"/>
      <c r="BH43" s="37"/>
      <c r="BI43" s="37"/>
      <c r="BJ43" s="37"/>
      <c r="BK43" s="37"/>
    </row>
    <row r="44" spans="1:63" x14ac:dyDescent="0.3">
      <c r="A44" s="37"/>
      <c r="B44" s="37"/>
      <c r="C44" s="37"/>
      <c r="D44" s="37"/>
      <c r="E44" s="37"/>
      <c r="F44" s="37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  <c r="AA44" s="37"/>
      <c r="AB44" s="37"/>
      <c r="AC44" s="37"/>
      <c r="AD44" s="37"/>
      <c r="AE44" s="37"/>
      <c r="AF44" s="37"/>
      <c r="AG44" s="37"/>
      <c r="AH44" s="37"/>
      <c r="AI44" s="37"/>
      <c r="AJ44" s="37"/>
      <c r="AK44" s="37"/>
      <c r="AL44" s="37"/>
      <c r="AM44" s="37"/>
      <c r="AN44" s="37"/>
      <c r="AO44" s="37"/>
      <c r="AP44" s="37"/>
      <c r="AQ44" s="37"/>
      <c r="AR44" s="37"/>
      <c r="AS44" s="37"/>
      <c r="AT44" s="37"/>
      <c r="AU44" s="37"/>
      <c r="AV44" s="37"/>
      <c r="AW44" s="37"/>
      <c r="AX44" s="37"/>
      <c r="AY44" s="37"/>
      <c r="AZ44" s="37"/>
      <c r="BA44" s="37"/>
      <c r="BB44" s="37"/>
      <c r="BC44" s="37"/>
      <c r="BD44" s="37"/>
      <c r="BE44" s="37"/>
      <c r="BF44" s="37"/>
      <c r="BG44" s="37"/>
      <c r="BH44" s="37"/>
      <c r="BI44" s="37"/>
      <c r="BJ44" s="37"/>
      <c r="BK44" s="37"/>
    </row>
    <row r="45" spans="1:63" x14ac:dyDescent="0.3">
      <c r="A45" s="37"/>
      <c r="B45" s="37"/>
      <c r="C45" s="37"/>
      <c r="E45" s="37"/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  <c r="AA45" s="37"/>
      <c r="AB45" s="37"/>
      <c r="AC45" s="37"/>
      <c r="AD45" s="37"/>
      <c r="AE45" s="37"/>
      <c r="AF45" s="37"/>
      <c r="AG45" s="37"/>
      <c r="AH45" s="37"/>
      <c r="AI45" s="37"/>
      <c r="AJ45" s="37"/>
      <c r="AK45" s="37"/>
      <c r="AL45" s="37"/>
      <c r="AM45" s="37"/>
      <c r="AN45" s="37"/>
      <c r="AO45" s="37"/>
      <c r="AP45" s="37"/>
      <c r="AQ45" s="37"/>
      <c r="AR45" s="37"/>
      <c r="AS45" s="37"/>
      <c r="AT45" s="37"/>
      <c r="AU45" s="37"/>
      <c r="AV45" s="37"/>
      <c r="AW45" s="37"/>
      <c r="AX45" s="37"/>
      <c r="AY45" s="37"/>
      <c r="AZ45" s="37"/>
      <c r="BA45" s="37"/>
      <c r="BB45" s="37"/>
      <c r="BC45" s="37"/>
      <c r="BD45" s="37"/>
      <c r="BE45" s="37"/>
      <c r="BF45" s="37"/>
      <c r="BG45" s="37"/>
      <c r="BH45" s="37"/>
      <c r="BI45" s="37"/>
      <c r="BJ45" s="37"/>
      <c r="BK45" s="37"/>
    </row>
    <row r="46" spans="1:63" x14ac:dyDescent="0.3">
      <c r="A46" s="37"/>
      <c r="B46" s="37"/>
      <c r="C46" s="37"/>
      <c r="D46" s="37"/>
      <c r="E46" s="37"/>
      <c r="F46" s="37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  <c r="AA46" s="37"/>
      <c r="AB46" s="37"/>
      <c r="AC46" s="37"/>
      <c r="AD46" s="37"/>
      <c r="AE46" s="37"/>
      <c r="AF46" s="37"/>
      <c r="AG46" s="37"/>
      <c r="AH46" s="37"/>
      <c r="AI46" s="37"/>
      <c r="AJ46" s="37"/>
      <c r="AK46" s="37"/>
      <c r="AL46" s="37"/>
      <c r="AM46" s="37"/>
      <c r="AN46" s="37"/>
      <c r="AO46" s="37"/>
      <c r="AP46" s="37"/>
      <c r="AQ46" s="37"/>
      <c r="AR46" s="37"/>
      <c r="AS46" s="37"/>
      <c r="AT46" s="37"/>
      <c r="AU46" s="37"/>
      <c r="AV46" s="37"/>
      <c r="AW46" s="37"/>
      <c r="AX46" s="37"/>
      <c r="AY46" s="37"/>
      <c r="AZ46" s="37"/>
      <c r="BA46" s="37"/>
      <c r="BB46" s="37"/>
      <c r="BC46" s="37"/>
      <c r="BD46" s="37"/>
      <c r="BE46" s="37"/>
      <c r="BF46" s="37"/>
      <c r="BG46" s="37"/>
      <c r="BH46" s="37"/>
      <c r="BI46" s="37"/>
      <c r="BJ46" s="37"/>
      <c r="BK46" s="37"/>
    </row>
    <row r="47" spans="1:63" x14ac:dyDescent="0.3">
      <c r="A47" s="37"/>
      <c r="B47" s="37"/>
      <c r="C47" s="37"/>
      <c r="D47" s="37"/>
      <c r="E47" s="37"/>
      <c r="F47" s="37"/>
      <c r="G47" s="37"/>
      <c r="H47" s="37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  <c r="AA47" s="37"/>
      <c r="AB47" s="37"/>
      <c r="AC47" s="37"/>
      <c r="AD47" s="37"/>
      <c r="AE47" s="37"/>
      <c r="AF47" s="37"/>
      <c r="AG47" s="37"/>
      <c r="AH47" s="37"/>
      <c r="AI47" s="37"/>
      <c r="AJ47" s="37"/>
      <c r="AK47" s="37"/>
      <c r="AL47" s="37"/>
      <c r="AM47" s="37"/>
      <c r="AN47" s="37"/>
      <c r="AO47" s="37"/>
      <c r="AP47" s="37"/>
      <c r="AQ47" s="37"/>
      <c r="AR47" s="37"/>
      <c r="AS47" s="37"/>
      <c r="AT47" s="37"/>
      <c r="AU47" s="37"/>
      <c r="AV47" s="37"/>
      <c r="AW47" s="37"/>
      <c r="AX47" s="37"/>
      <c r="AY47" s="37"/>
      <c r="AZ47" s="37"/>
      <c r="BA47" s="37"/>
      <c r="BB47" s="37"/>
      <c r="BC47" s="37"/>
      <c r="BD47" s="37"/>
      <c r="BE47" s="37"/>
      <c r="BF47" s="37"/>
      <c r="BG47" s="37"/>
      <c r="BH47" s="37"/>
      <c r="BI47" s="37"/>
      <c r="BJ47" s="37"/>
      <c r="BK47" s="37"/>
    </row>
    <row r="48" spans="1:63" x14ac:dyDescent="0.3">
      <c r="A48" s="37"/>
      <c r="B48" s="37"/>
      <c r="C48" s="37"/>
      <c r="D48" s="37"/>
      <c r="E48" s="37"/>
      <c r="F48" s="37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  <c r="AA48" s="37"/>
      <c r="AB48" s="37"/>
      <c r="AC48" s="37"/>
      <c r="AD48" s="37"/>
      <c r="AE48" s="37"/>
      <c r="AF48" s="37"/>
      <c r="AG48" s="37"/>
      <c r="AH48" s="37"/>
      <c r="AI48" s="37"/>
      <c r="AJ48" s="37"/>
      <c r="AK48" s="37"/>
      <c r="AL48" s="37"/>
      <c r="AM48" s="37"/>
      <c r="AN48" s="37"/>
      <c r="AO48" s="37"/>
      <c r="AP48" s="37"/>
      <c r="AQ48" s="37"/>
      <c r="AR48" s="37"/>
      <c r="AS48" s="37"/>
      <c r="AT48" s="37"/>
      <c r="AU48" s="37"/>
      <c r="AV48" s="37"/>
      <c r="AW48" s="37"/>
      <c r="AX48" s="37"/>
      <c r="AY48" s="37"/>
      <c r="AZ48" s="37"/>
      <c r="BA48" s="37"/>
      <c r="BB48" s="37"/>
      <c r="BC48" s="37"/>
      <c r="BD48" s="37"/>
      <c r="BE48" s="37"/>
      <c r="BF48" s="37"/>
      <c r="BG48" s="37"/>
      <c r="BH48" s="37"/>
      <c r="BI48" s="37"/>
      <c r="BJ48" s="37"/>
      <c r="BK48" s="37"/>
    </row>
    <row r="49" spans="1:4" x14ac:dyDescent="0.3">
      <c r="A49" s="37"/>
      <c r="B49" s="37"/>
      <c r="C49" s="37"/>
      <c r="D49" s="37"/>
    </row>
  </sheetData>
  <mergeCells count="1">
    <mergeCell ref="F5:H5"/>
  </mergeCells>
  <conditionalFormatting sqref="J7:AN26">
    <cfRule type="containsText" dxfId="263" priority="1" operator="containsText" text="P">
      <formula>NOT(ISERROR(SEARCH("P",J7)))</formula>
    </cfRule>
    <cfRule type="containsText" dxfId="262" priority="2" operator="containsText" text="L">
      <formula>NOT(ISERROR(SEARCH("L",J7)))</formula>
    </cfRule>
    <cfRule type="containsText" dxfId="261" priority="3" operator="containsText" text="A">
      <formula>NOT(ISERROR(SEARCH("A",J7)))</formula>
    </cfRule>
    <cfRule type="containsText" dxfId="260" priority="4" operator="containsText" text="WO">
      <formula>NOT(ISERROR(SEARCH("WO",J7)))</formula>
    </cfRule>
    <cfRule type="containsText" dxfId="259" priority="5" operator="containsText" text="WO">
      <formula>NOT(ISERROR(SEARCH("WO",J7)))</formula>
    </cfRule>
  </conditionalFormatting>
  <dataValidations count="2">
    <dataValidation type="list" allowBlank="1" showInputMessage="1" showErrorMessage="1" sqref="J7:J26 L7:Q26 S7:X26 Z7:AE26 AG7:AK26">
      <formula1>"P,A,L"</formula1>
    </dataValidation>
    <dataValidation type="list" allowBlank="1" showInputMessage="1" showErrorMessage="1" sqref="H4">
      <formula1>#REF!</formula1>
    </dataValidation>
  </dataValidations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FEB!AT7:AW7</xm:f>
              <xm:sqref>BD7</xm:sqref>
            </x14:sparkline>
            <x14:sparkline>
              <xm:f>FEB!AT8:AW8</xm:f>
              <xm:sqref>BD8</xm:sqref>
            </x14:sparkline>
            <x14:sparkline>
              <xm:f>FEB!AT9:AW9</xm:f>
              <xm:sqref>BD9</xm:sqref>
            </x14:sparkline>
            <x14:sparkline>
              <xm:f>FEB!AT10:AW10</xm:f>
              <xm:sqref>BD10</xm:sqref>
            </x14:sparkline>
            <x14:sparkline>
              <xm:f>FEB!AT11:AW11</xm:f>
              <xm:sqref>BD11</xm:sqref>
            </x14:sparkline>
            <x14:sparkline>
              <xm:f>FEB!AT12:AW12</xm:f>
              <xm:sqref>BD12</xm:sqref>
            </x14:sparkline>
            <x14:sparkline>
              <xm:f>FEB!AT13:AW13</xm:f>
              <xm:sqref>BD13</xm:sqref>
            </x14:sparkline>
            <x14:sparkline>
              <xm:f>FEB!AT14:AW14</xm:f>
              <xm:sqref>BD14</xm:sqref>
            </x14:sparkline>
            <x14:sparkline>
              <xm:f>FEB!AT15:AW15</xm:f>
              <xm:sqref>BD15</xm:sqref>
            </x14:sparkline>
            <x14:sparkline>
              <xm:f>FEB!AT16:AW16</xm:f>
              <xm:sqref>BD16</xm:sqref>
            </x14:sparkline>
            <x14:sparkline>
              <xm:f>FEB!AT17:AW17</xm:f>
              <xm:sqref>BD17</xm:sqref>
            </x14:sparkline>
            <x14:sparkline>
              <xm:f>FEB!AT18:AW18</xm:f>
              <xm:sqref>BD18</xm:sqref>
            </x14:sparkline>
            <x14:sparkline>
              <xm:f>FEB!AT19:AW19</xm:f>
              <xm:sqref>BD19</xm:sqref>
            </x14:sparkline>
            <x14:sparkline>
              <xm:f>FEB!AT20:AW20</xm:f>
              <xm:sqref>BD20</xm:sqref>
            </x14:sparkline>
            <x14:sparkline>
              <xm:f>FEB!AT21:AW21</xm:f>
              <xm:sqref>BD21</xm:sqref>
            </x14:sparkline>
            <x14:sparkline>
              <xm:f>FEB!AT22:AW22</xm:f>
              <xm:sqref>BD22</xm:sqref>
            </x14:sparkline>
            <x14:sparkline>
              <xm:f>FEB!AT23:AW23</xm:f>
              <xm:sqref>BD23</xm:sqref>
            </x14:sparkline>
            <x14:sparkline>
              <xm:f>FEB!AT24:AW24</xm:f>
              <xm:sqref>BD24</xm:sqref>
            </x14:sparkline>
            <x14:sparkline>
              <xm:f>FEB!AT25:AW25</xm:f>
              <xm:sqref>BD25</xm:sqref>
            </x14:sparkline>
            <x14:sparkline>
              <xm:f>FEB!AT26:AW26</xm:f>
              <xm:sqref>BD26</xm:sqref>
            </x14:sparkline>
          </x14:sparklines>
        </x14:sparklineGroup>
      </x14:sparklineGroup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49"/>
  <sheetViews>
    <sheetView zoomScaleNormal="100" workbookViewId="0"/>
  </sheetViews>
  <sheetFormatPr defaultColWidth="9.109375" defaultRowHeight="14.4" x14ac:dyDescent="0.3"/>
  <cols>
    <col min="1" max="6" width="9.109375" style="7"/>
    <col min="7" max="7" width="11.6640625" style="7" bestFit="1" customWidth="1"/>
    <col min="8" max="8" width="17" style="7" bestFit="1" customWidth="1"/>
    <col min="9" max="9" width="9.109375" style="7"/>
    <col min="10" max="10" width="5.33203125" style="7" bestFit="1" customWidth="1"/>
    <col min="11" max="11" width="6" style="7" customWidth="1"/>
    <col min="12" max="12" width="5" style="7" bestFit="1" customWidth="1"/>
    <col min="13" max="14" width="4.33203125" style="7" bestFit="1" customWidth="1"/>
    <col min="15" max="15" width="6.5546875" style="7" customWidth="1"/>
    <col min="16" max="16" width="4.33203125" style="7" bestFit="1" customWidth="1"/>
    <col min="17" max="17" width="5.109375" style="7" bestFit="1" customWidth="1"/>
    <col min="18" max="18" width="4.33203125" style="7" bestFit="1" customWidth="1"/>
    <col min="19" max="19" width="5" style="7" bestFit="1" customWidth="1"/>
    <col min="20" max="20" width="4.33203125" style="7" bestFit="1" customWidth="1"/>
    <col min="21" max="21" width="5.109375" style="7" bestFit="1" customWidth="1"/>
    <col min="22" max="22" width="5" style="7" bestFit="1" customWidth="1"/>
    <col min="23" max="23" width="4.33203125" style="7" bestFit="1" customWidth="1"/>
    <col min="24" max="24" width="5.109375" style="7" bestFit="1" customWidth="1"/>
    <col min="25" max="25" width="4.33203125" style="7" bestFit="1" customWidth="1"/>
    <col min="26" max="26" width="5" style="7" bestFit="1" customWidth="1"/>
    <col min="27" max="27" width="4.33203125" style="7" bestFit="1" customWidth="1"/>
    <col min="28" max="28" width="5.109375" style="7" bestFit="1" customWidth="1"/>
    <col min="29" max="29" width="5" style="7" bestFit="1" customWidth="1"/>
    <col min="30" max="30" width="4.33203125" style="7" bestFit="1" customWidth="1"/>
    <col min="31" max="31" width="5.109375" style="7" bestFit="1" customWidth="1"/>
    <col min="32" max="32" width="4.33203125" style="7" bestFit="1" customWidth="1"/>
    <col min="33" max="33" width="5" style="7" bestFit="1" customWidth="1"/>
    <col min="34" max="34" width="4.33203125" style="7" bestFit="1" customWidth="1"/>
    <col min="35" max="35" width="5.109375" style="7" bestFit="1" customWidth="1"/>
    <col min="36" max="37" width="4.33203125" style="7" bestFit="1" customWidth="1"/>
    <col min="38" max="38" width="5.109375" style="7" bestFit="1" customWidth="1"/>
    <col min="39" max="39" width="4.33203125" style="7" bestFit="1" customWidth="1"/>
    <col min="40" max="40" width="5.33203125" style="7" bestFit="1" customWidth="1"/>
    <col min="41" max="41" width="9.109375" style="7"/>
    <col min="42" max="42" width="9.33203125" style="7" bestFit="1" customWidth="1"/>
    <col min="43" max="44" width="14.33203125" style="7" customWidth="1"/>
    <col min="45" max="45" width="18" style="7" customWidth="1"/>
    <col min="46" max="46" width="10.5546875" style="7" customWidth="1"/>
    <col min="47" max="47" width="9.88671875" style="7" customWidth="1"/>
    <col min="48" max="48" width="9.33203125" style="7" bestFit="1" customWidth="1"/>
    <col min="49" max="49" width="12.109375" style="7" customWidth="1"/>
    <col min="50" max="50" width="9.33203125" style="7" bestFit="1" customWidth="1"/>
    <col min="51" max="51" width="11.88671875" style="7" customWidth="1"/>
    <col min="52" max="52" width="14.33203125" style="7" bestFit="1" customWidth="1"/>
    <col min="53" max="53" width="15.44140625" style="7" customWidth="1"/>
    <col min="54" max="54" width="12.88671875" style="7" customWidth="1"/>
    <col min="55" max="55" width="14.5546875" style="7" bestFit="1" customWidth="1"/>
    <col min="56" max="56" width="13.5546875" style="7" customWidth="1"/>
    <col min="57" max="16384" width="9.109375" style="7"/>
  </cols>
  <sheetData>
    <row r="1" spans="4:68" x14ac:dyDescent="0.3">
      <c r="AO1" s="37"/>
      <c r="BE1" s="37"/>
      <c r="BF1" s="37"/>
      <c r="BG1" s="37"/>
      <c r="BH1" s="37"/>
      <c r="BI1" s="37"/>
      <c r="BJ1" s="37"/>
      <c r="BK1" s="37"/>
    </row>
    <row r="2" spans="4:68" x14ac:dyDescent="0.3">
      <c r="AO2" s="37"/>
      <c r="BE2" s="37"/>
      <c r="BF2" s="37"/>
      <c r="BG2" s="37"/>
      <c r="BH2" s="37"/>
      <c r="BI2" s="37"/>
      <c r="BJ2" s="37"/>
      <c r="BK2" s="37"/>
    </row>
    <row r="3" spans="4:68" x14ac:dyDescent="0.3"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  <c r="AA3" s="37"/>
      <c r="AB3" s="37"/>
      <c r="AC3" s="37"/>
      <c r="AD3" s="37"/>
      <c r="AE3" s="37"/>
      <c r="AF3" s="37"/>
      <c r="AG3" s="37"/>
      <c r="AH3" s="37"/>
      <c r="AI3" s="37"/>
      <c r="AJ3" s="37"/>
      <c r="AK3" s="37"/>
      <c r="AL3" s="37"/>
      <c r="AM3" s="37"/>
      <c r="AN3" s="37"/>
      <c r="AO3" s="37"/>
      <c r="AP3" s="37"/>
      <c r="AQ3" s="37"/>
      <c r="AR3" s="37"/>
      <c r="AS3" s="37"/>
      <c r="AT3" s="37"/>
      <c r="AU3" s="37"/>
      <c r="AV3" s="37"/>
      <c r="AW3" s="37"/>
      <c r="AX3" s="37"/>
      <c r="AY3" s="37"/>
      <c r="AZ3" s="37"/>
      <c r="BA3" s="37"/>
      <c r="BB3" s="37"/>
      <c r="BC3" s="37"/>
      <c r="BD3" s="37"/>
      <c r="BE3" s="37"/>
      <c r="BF3" s="37"/>
      <c r="BG3" s="37"/>
      <c r="BH3" s="37"/>
      <c r="BI3" s="37"/>
      <c r="BJ3" s="37"/>
      <c r="BK3" s="37"/>
      <c r="BL3" s="37"/>
      <c r="BM3" s="37"/>
      <c r="BN3" s="37"/>
      <c r="BO3" s="37"/>
      <c r="BP3" s="37"/>
    </row>
    <row r="4" spans="4:68" ht="15" thickBot="1" x14ac:dyDescent="0.35">
      <c r="D4" s="37"/>
      <c r="E4" s="41"/>
      <c r="F4" s="41"/>
      <c r="G4" s="42" t="s">
        <v>26</v>
      </c>
      <c r="H4" s="43">
        <v>45717</v>
      </c>
      <c r="I4" s="42"/>
      <c r="J4" s="42" t="s">
        <v>27</v>
      </c>
      <c r="K4" s="43">
        <f>EOMONTH(H4,0)</f>
        <v>45747</v>
      </c>
      <c r="L4" s="42"/>
      <c r="M4" s="42"/>
      <c r="N4" s="42">
        <f>(DATEDIF($H$4,$K$4,"D"))+1</f>
        <v>31</v>
      </c>
      <c r="O4" s="44" t="str">
        <f>TEXT(H4,"MMMM")</f>
        <v>March</v>
      </c>
      <c r="P4" s="42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41"/>
      <c r="AC4" s="41"/>
      <c r="AD4" s="41"/>
      <c r="AE4" s="41"/>
      <c r="AF4" s="41"/>
      <c r="AG4" s="41"/>
      <c r="AH4" s="41"/>
      <c r="AI4" s="41"/>
      <c r="AJ4" s="41"/>
      <c r="AK4" s="41"/>
      <c r="AL4" s="41"/>
      <c r="AM4" s="41"/>
      <c r="AN4" s="41"/>
      <c r="AO4" s="37"/>
      <c r="AP4" s="37"/>
      <c r="AQ4" s="37"/>
      <c r="AR4" s="37"/>
      <c r="AS4" s="37"/>
      <c r="AT4" s="37"/>
      <c r="AU4" s="37"/>
      <c r="AV4" s="38"/>
      <c r="AW4" s="37"/>
      <c r="AX4" s="37"/>
      <c r="AY4" s="37"/>
      <c r="AZ4" s="37"/>
      <c r="BA4" s="37"/>
      <c r="BB4" s="37"/>
      <c r="BC4" s="37"/>
      <c r="BD4" s="37"/>
      <c r="BE4" s="37"/>
      <c r="BF4" s="37"/>
      <c r="BG4" s="37"/>
      <c r="BH4" s="37"/>
      <c r="BI4" s="37"/>
      <c r="BJ4" s="37"/>
      <c r="BK4" s="37"/>
      <c r="BL4" s="37"/>
      <c r="BM4" s="37"/>
      <c r="BN4" s="37"/>
      <c r="BO4" s="37"/>
      <c r="BP4" s="37"/>
    </row>
    <row r="5" spans="4:68" ht="15" thickBot="1" x14ac:dyDescent="0.35">
      <c r="D5" s="37"/>
      <c r="E5" s="41"/>
      <c r="F5" s="88" t="s">
        <v>40</v>
      </c>
      <c r="G5" s="89"/>
      <c r="H5" s="89"/>
      <c r="I5" s="8" t="s">
        <v>29</v>
      </c>
      <c r="J5" s="8" t="str">
        <f>TEXT(J6,"DDD")</f>
        <v>Sat</v>
      </c>
      <c r="K5" s="8" t="str">
        <f t="shared" ref="K5:AN5" si="0">TEXT(K6,"DDD")</f>
        <v>Sun</v>
      </c>
      <c r="L5" s="8" t="str">
        <f t="shared" si="0"/>
        <v>Mon</v>
      </c>
      <c r="M5" s="8" t="str">
        <f t="shared" si="0"/>
        <v>Tue</v>
      </c>
      <c r="N5" s="8" t="str">
        <f t="shared" si="0"/>
        <v>Wed</v>
      </c>
      <c r="O5" s="8" t="str">
        <f t="shared" si="0"/>
        <v>Thu</v>
      </c>
      <c r="P5" s="8" t="str">
        <f t="shared" si="0"/>
        <v>Fri</v>
      </c>
      <c r="Q5" s="8" t="str">
        <f t="shared" si="0"/>
        <v>Sat</v>
      </c>
      <c r="R5" s="8" t="str">
        <f t="shared" si="0"/>
        <v>Sun</v>
      </c>
      <c r="S5" s="8" t="str">
        <f t="shared" si="0"/>
        <v>Mon</v>
      </c>
      <c r="T5" s="8" t="str">
        <f t="shared" si="0"/>
        <v>Tue</v>
      </c>
      <c r="U5" s="8" t="str">
        <f t="shared" si="0"/>
        <v>Wed</v>
      </c>
      <c r="V5" s="8" t="str">
        <f t="shared" si="0"/>
        <v>Thu</v>
      </c>
      <c r="W5" s="8" t="str">
        <f t="shared" si="0"/>
        <v>Fri</v>
      </c>
      <c r="X5" s="8" t="str">
        <f t="shared" si="0"/>
        <v>Sat</v>
      </c>
      <c r="Y5" s="8" t="str">
        <f t="shared" si="0"/>
        <v>Sun</v>
      </c>
      <c r="Z5" s="8" t="str">
        <f t="shared" si="0"/>
        <v>Mon</v>
      </c>
      <c r="AA5" s="8" t="str">
        <f t="shared" si="0"/>
        <v>Tue</v>
      </c>
      <c r="AB5" s="8" t="str">
        <f t="shared" si="0"/>
        <v>Wed</v>
      </c>
      <c r="AC5" s="8" t="str">
        <f t="shared" si="0"/>
        <v>Thu</v>
      </c>
      <c r="AD5" s="8" t="str">
        <f t="shared" si="0"/>
        <v>Fri</v>
      </c>
      <c r="AE5" s="8" t="str">
        <f t="shared" si="0"/>
        <v>Sat</v>
      </c>
      <c r="AF5" s="8" t="str">
        <f t="shared" si="0"/>
        <v>Sun</v>
      </c>
      <c r="AG5" s="8" t="str">
        <f t="shared" si="0"/>
        <v>Mon</v>
      </c>
      <c r="AH5" s="8" t="str">
        <f t="shared" si="0"/>
        <v>Tue</v>
      </c>
      <c r="AI5" s="8" t="str">
        <f t="shared" si="0"/>
        <v>Wed</v>
      </c>
      <c r="AJ5" s="8" t="str">
        <f t="shared" si="0"/>
        <v>Thu</v>
      </c>
      <c r="AK5" s="8" t="str">
        <f t="shared" si="0"/>
        <v>Fri</v>
      </c>
      <c r="AL5" s="8" t="str">
        <f t="shared" si="0"/>
        <v>Sat</v>
      </c>
      <c r="AM5" s="8" t="str">
        <f t="shared" si="0"/>
        <v>Sun</v>
      </c>
      <c r="AN5" s="9" t="str">
        <f t="shared" si="0"/>
        <v>Mon</v>
      </c>
      <c r="AO5" s="39"/>
      <c r="AP5" s="39"/>
      <c r="AQ5" s="39"/>
      <c r="AR5" s="39"/>
      <c r="AS5" s="39"/>
      <c r="AT5" s="39"/>
      <c r="AU5" s="39"/>
      <c r="AV5" s="39"/>
      <c r="AW5" s="39"/>
      <c r="AX5" s="39"/>
      <c r="AY5" s="39"/>
      <c r="AZ5" s="39"/>
      <c r="BA5" s="39"/>
      <c r="BB5" s="39"/>
      <c r="BC5" s="39"/>
      <c r="BD5" s="39"/>
      <c r="BE5" s="39"/>
      <c r="BF5" s="37"/>
      <c r="BG5" s="37"/>
      <c r="BH5" s="37"/>
      <c r="BI5" s="37"/>
      <c r="BJ5" s="37"/>
      <c r="BK5" s="37"/>
    </row>
    <row r="6" spans="4:68" ht="18.600000000000001" thickBot="1" x14ac:dyDescent="0.35">
      <c r="D6" s="37"/>
      <c r="E6" s="41"/>
      <c r="F6" s="10" t="s">
        <v>24</v>
      </c>
      <c r="G6" s="11" t="s">
        <v>23</v>
      </c>
      <c r="H6" s="12" t="s">
        <v>25</v>
      </c>
      <c r="I6" s="13" t="s">
        <v>28</v>
      </c>
      <c r="J6" s="14">
        <f>H4</f>
        <v>45717</v>
      </c>
      <c r="K6" s="14">
        <f>IF(J6&lt;$K$4,J6+1,"")</f>
        <v>45718</v>
      </c>
      <c r="L6" s="14">
        <f t="shared" ref="L6:AL6" si="1">IF(K6&lt;$K$4,K6+1,"")</f>
        <v>45719</v>
      </c>
      <c r="M6" s="14">
        <f t="shared" si="1"/>
        <v>45720</v>
      </c>
      <c r="N6" s="14">
        <f t="shared" si="1"/>
        <v>45721</v>
      </c>
      <c r="O6" s="14">
        <f t="shared" si="1"/>
        <v>45722</v>
      </c>
      <c r="P6" s="14">
        <f t="shared" si="1"/>
        <v>45723</v>
      </c>
      <c r="Q6" s="14">
        <f t="shared" si="1"/>
        <v>45724</v>
      </c>
      <c r="R6" s="14">
        <f t="shared" si="1"/>
        <v>45725</v>
      </c>
      <c r="S6" s="14">
        <f t="shared" si="1"/>
        <v>45726</v>
      </c>
      <c r="T6" s="14">
        <f t="shared" si="1"/>
        <v>45727</v>
      </c>
      <c r="U6" s="14">
        <f t="shared" si="1"/>
        <v>45728</v>
      </c>
      <c r="V6" s="14">
        <f t="shared" si="1"/>
        <v>45729</v>
      </c>
      <c r="W6" s="14">
        <f t="shared" si="1"/>
        <v>45730</v>
      </c>
      <c r="X6" s="14">
        <f t="shared" si="1"/>
        <v>45731</v>
      </c>
      <c r="Y6" s="14">
        <f t="shared" si="1"/>
        <v>45732</v>
      </c>
      <c r="Z6" s="14">
        <f t="shared" si="1"/>
        <v>45733</v>
      </c>
      <c r="AA6" s="14">
        <f t="shared" si="1"/>
        <v>45734</v>
      </c>
      <c r="AB6" s="14">
        <f t="shared" si="1"/>
        <v>45735</v>
      </c>
      <c r="AC6" s="14">
        <f t="shared" si="1"/>
        <v>45736</v>
      </c>
      <c r="AD6" s="14">
        <f t="shared" si="1"/>
        <v>45737</v>
      </c>
      <c r="AE6" s="14">
        <f t="shared" si="1"/>
        <v>45738</v>
      </c>
      <c r="AF6" s="14">
        <f t="shared" si="1"/>
        <v>45739</v>
      </c>
      <c r="AG6" s="14">
        <f t="shared" si="1"/>
        <v>45740</v>
      </c>
      <c r="AH6" s="14">
        <f t="shared" si="1"/>
        <v>45741</v>
      </c>
      <c r="AI6" s="14">
        <f t="shared" si="1"/>
        <v>45742</v>
      </c>
      <c r="AJ6" s="14">
        <f t="shared" si="1"/>
        <v>45743</v>
      </c>
      <c r="AK6" s="14">
        <f t="shared" si="1"/>
        <v>45744</v>
      </c>
      <c r="AL6" s="14">
        <f t="shared" si="1"/>
        <v>45745</v>
      </c>
      <c r="AM6" s="14">
        <f t="shared" ref="AM6:AN6" si="2">IF(AL6&lt;=$K$4,AL6+1,"")</f>
        <v>45746</v>
      </c>
      <c r="AN6" s="15">
        <f t="shared" si="2"/>
        <v>45747</v>
      </c>
      <c r="AO6" s="40"/>
      <c r="AP6" s="34" t="s">
        <v>24</v>
      </c>
      <c r="AQ6" s="35" t="s">
        <v>23</v>
      </c>
      <c r="AR6" s="35" t="s">
        <v>41</v>
      </c>
      <c r="AS6" s="35" t="s">
        <v>25</v>
      </c>
      <c r="AT6" s="35" t="s">
        <v>30</v>
      </c>
      <c r="AU6" s="35" t="s">
        <v>31</v>
      </c>
      <c r="AV6" s="35" t="s">
        <v>32</v>
      </c>
      <c r="AW6" s="35" t="s">
        <v>38</v>
      </c>
      <c r="AX6" s="35" t="s">
        <v>29</v>
      </c>
      <c r="AY6" s="35" t="s">
        <v>33</v>
      </c>
      <c r="AZ6" s="35" t="s">
        <v>34</v>
      </c>
      <c r="BA6" s="35" t="s">
        <v>35</v>
      </c>
      <c r="BB6" s="35" t="s">
        <v>36</v>
      </c>
      <c r="BC6" s="35" t="s">
        <v>37</v>
      </c>
      <c r="BD6" s="36" t="s">
        <v>39</v>
      </c>
      <c r="BE6" s="39"/>
      <c r="BF6" s="37"/>
      <c r="BG6" s="37"/>
      <c r="BH6" s="37"/>
      <c r="BI6" s="37"/>
      <c r="BJ6" s="37"/>
      <c r="BK6" s="37"/>
    </row>
    <row r="7" spans="4:68" ht="15.6" x14ac:dyDescent="0.3">
      <c r="D7" s="37"/>
      <c r="E7" s="41"/>
      <c r="F7" s="16">
        <v>1</v>
      </c>
      <c r="G7" s="17">
        <v>1001</v>
      </c>
      <c r="H7" s="18" t="s">
        <v>3</v>
      </c>
      <c r="I7" s="60">
        <f>COUNTIF($J$5:$AN$5,"SUN")</f>
        <v>5</v>
      </c>
      <c r="J7" s="63" t="s">
        <v>42</v>
      </c>
      <c r="K7" s="63" t="str">
        <f t="shared" ref="K7:AM15" si="3">IF(K$5="Sun","WO","")</f>
        <v>WO</v>
      </c>
      <c r="L7" s="63" t="s">
        <v>42</v>
      </c>
      <c r="M7" s="63" t="s">
        <v>42</v>
      </c>
      <c r="N7" s="63" t="s">
        <v>42</v>
      </c>
      <c r="O7" s="63" t="s">
        <v>42</v>
      </c>
      <c r="P7" s="63" t="s">
        <v>42</v>
      </c>
      <c r="Q7" s="63" t="s">
        <v>42</v>
      </c>
      <c r="R7" s="63" t="str">
        <f t="shared" si="3"/>
        <v>WO</v>
      </c>
      <c r="S7" s="63" t="s">
        <v>42</v>
      </c>
      <c r="T7" s="63" t="s">
        <v>42</v>
      </c>
      <c r="U7" s="63" t="s">
        <v>44</v>
      </c>
      <c r="V7" s="63" t="s">
        <v>42</v>
      </c>
      <c r="W7" s="63" t="s">
        <v>42</v>
      </c>
      <c r="X7" s="63" t="s">
        <v>42</v>
      </c>
      <c r="Y7" s="63" t="str">
        <f t="shared" si="3"/>
        <v>WO</v>
      </c>
      <c r="Z7" s="63" t="s">
        <v>42</v>
      </c>
      <c r="AA7" s="63" t="s">
        <v>42</v>
      </c>
      <c r="AB7" s="63" t="s">
        <v>44</v>
      </c>
      <c r="AC7" s="63" t="s">
        <v>42</v>
      </c>
      <c r="AD7" s="63" t="s">
        <v>42</v>
      </c>
      <c r="AE7" s="63" t="s">
        <v>42</v>
      </c>
      <c r="AF7" s="63" t="str">
        <f t="shared" si="3"/>
        <v>WO</v>
      </c>
      <c r="AG7" s="63" t="s">
        <v>42</v>
      </c>
      <c r="AH7" s="63" t="s">
        <v>42</v>
      </c>
      <c r="AI7" s="63" t="s">
        <v>42</v>
      </c>
      <c r="AJ7" s="63" t="s">
        <v>44</v>
      </c>
      <c r="AK7" s="63" t="s">
        <v>42</v>
      </c>
      <c r="AL7" s="63" t="s">
        <v>42</v>
      </c>
      <c r="AM7" s="63" t="str">
        <f t="shared" si="3"/>
        <v>WO</v>
      </c>
      <c r="AN7" s="72" t="s">
        <v>42</v>
      </c>
      <c r="AO7" s="39"/>
      <c r="AP7" s="28">
        <v>1</v>
      </c>
      <c r="AQ7" s="21">
        <v>1001</v>
      </c>
      <c r="AR7" s="33" t="str">
        <f t="shared" ref="AR7:AR26" si="4">$O$4</f>
        <v>March</v>
      </c>
      <c r="AS7" s="21" t="s">
        <v>3</v>
      </c>
      <c r="AT7" s="29">
        <f t="shared" ref="AT7:AT26" si="5">COUNTIF($J7:$AN7,"*P*")</f>
        <v>23</v>
      </c>
      <c r="AU7" s="29">
        <f>COUNTIF($J7:$AN7,"*A*")</f>
        <v>0</v>
      </c>
      <c r="AV7" s="29">
        <f t="shared" ref="AV7:AV26" si="6">COUNTIF($J7:$AN7,"*L*")</f>
        <v>3</v>
      </c>
      <c r="AW7" s="29">
        <f t="shared" ref="AW7:AW26" si="7">I7</f>
        <v>5</v>
      </c>
      <c r="AX7" s="30">
        <f>$N$4</f>
        <v>31</v>
      </c>
      <c r="AY7" s="29">
        <f>MARReport[[#This Row],[Days]]-MARReport[[#This Row],[Adsent]]</f>
        <v>31</v>
      </c>
      <c r="AZ7" s="31">
        <v>10000</v>
      </c>
      <c r="BA7" s="32">
        <f>MARReport[[#This Row],[Salary]]/MARReport[[#This Row],[Days]]</f>
        <v>322.58064516129031</v>
      </c>
      <c r="BB7" s="31">
        <f>MARReport[[#This Row],[Perday salary]]*MARReport[[#This Row],[Adsent]]</f>
        <v>0</v>
      </c>
      <c r="BC7" s="31">
        <f>MARReport[[#This Row],[Salary]]-MARReport[[#This Row],[Detuction ]]</f>
        <v>10000</v>
      </c>
      <c r="BD7" s="29"/>
      <c r="BE7" s="39"/>
      <c r="BF7" s="37"/>
      <c r="BG7" s="37"/>
      <c r="BH7" s="37"/>
      <c r="BI7" s="37"/>
      <c r="BJ7" s="37"/>
      <c r="BK7" s="37"/>
    </row>
    <row r="8" spans="4:68" ht="15.6" x14ac:dyDescent="0.3">
      <c r="D8" s="37"/>
      <c r="E8" s="41"/>
      <c r="F8" s="20">
        <v>2</v>
      </c>
      <c r="G8" s="21">
        <v>1002</v>
      </c>
      <c r="H8" s="22" t="s">
        <v>4</v>
      </c>
      <c r="I8" s="61">
        <f t="shared" ref="I8:I26" si="8">COUNTIF($J$5:$AN$5,"SUN")</f>
        <v>5</v>
      </c>
      <c r="J8" s="64" t="s">
        <v>42</v>
      </c>
      <c r="K8" s="64" t="str">
        <f t="shared" si="3"/>
        <v>WO</v>
      </c>
      <c r="L8" s="64" t="s">
        <v>42</v>
      </c>
      <c r="M8" s="64" t="s">
        <v>42</v>
      </c>
      <c r="N8" s="64" t="s">
        <v>43</v>
      </c>
      <c r="O8" s="64" t="s">
        <v>42</v>
      </c>
      <c r="P8" s="64" t="s">
        <v>42</v>
      </c>
      <c r="Q8" s="64" t="s">
        <v>42</v>
      </c>
      <c r="R8" s="64" t="str">
        <f t="shared" si="3"/>
        <v>WO</v>
      </c>
      <c r="S8" s="64" t="s">
        <v>42</v>
      </c>
      <c r="T8" s="64" t="s">
        <v>42</v>
      </c>
      <c r="U8" s="64" t="s">
        <v>44</v>
      </c>
      <c r="V8" s="64" t="s">
        <v>42</v>
      </c>
      <c r="W8" s="64" t="s">
        <v>42</v>
      </c>
      <c r="X8" s="64" t="s">
        <v>42</v>
      </c>
      <c r="Y8" s="64" t="str">
        <f t="shared" si="3"/>
        <v>WO</v>
      </c>
      <c r="Z8" s="64" t="s">
        <v>42</v>
      </c>
      <c r="AA8" s="64" t="s">
        <v>42</v>
      </c>
      <c r="AB8" s="64" t="s">
        <v>44</v>
      </c>
      <c r="AC8" s="64" t="s">
        <v>42</v>
      </c>
      <c r="AD8" s="64" t="s">
        <v>42</v>
      </c>
      <c r="AE8" s="64" t="s">
        <v>42</v>
      </c>
      <c r="AF8" s="64" t="str">
        <f t="shared" si="3"/>
        <v>WO</v>
      </c>
      <c r="AG8" s="64" t="s">
        <v>42</v>
      </c>
      <c r="AH8" s="64" t="s">
        <v>42</v>
      </c>
      <c r="AI8" s="64" t="s">
        <v>42</v>
      </c>
      <c r="AJ8" s="64" t="s">
        <v>44</v>
      </c>
      <c r="AK8" s="64" t="s">
        <v>42</v>
      </c>
      <c r="AL8" s="64" t="s">
        <v>42</v>
      </c>
      <c r="AM8" s="64" t="str">
        <f t="shared" si="3"/>
        <v>WO</v>
      </c>
      <c r="AN8" s="73" t="s">
        <v>42</v>
      </c>
      <c r="AO8" s="39"/>
      <c r="AP8" s="28">
        <v>2</v>
      </c>
      <c r="AQ8" s="21">
        <v>1002</v>
      </c>
      <c r="AR8" s="33" t="str">
        <f t="shared" si="4"/>
        <v>March</v>
      </c>
      <c r="AS8" s="21" t="s">
        <v>4</v>
      </c>
      <c r="AT8" s="29">
        <f t="shared" si="5"/>
        <v>22</v>
      </c>
      <c r="AU8" s="29">
        <f t="shared" ref="AU8:AU26" si="9">COUNTIF($J8:$AN8,"*A*")</f>
        <v>1</v>
      </c>
      <c r="AV8" s="29">
        <f t="shared" si="6"/>
        <v>3</v>
      </c>
      <c r="AW8" s="29">
        <f t="shared" si="7"/>
        <v>5</v>
      </c>
      <c r="AX8" s="30">
        <f t="shared" ref="AX8:AX26" si="10">$N$4</f>
        <v>31</v>
      </c>
      <c r="AY8" s="29">
        <f>MARReport[[#This Row],[Days]]-MARReport[[#This Row],[Adsent]]</f>
        <v>30</v>
      </c>
      <c r="AZ8" s="31">
        <v>20000</v>
      </c>
      <c r="BA8" s="32">
        <f>MARReport[[#This Row],[Salary]]/MARReport[[#This Row],[Days]]</f>
        <v>645.16129032258061</v>
      </c>
      <c r="BB8" s="31">
        <f>MARReport[[#This Row],[Perday salary]]*MARReport[[#This Row],[Adsent]]</f>
        <v>645.16129032258061</v>
      </c>
      <c r="BC8" s="31">
        <f>MARReport[[#This Row],[Salary]]-MARReport[[#This Row],[Detuction ]]</f>
        <v>19354.83870967742</v>
      </c>
      <c r="BD8" s="29"/>
      <c r="BE8" s="39"/>
      <c r="BF8" s="37"/>
      <c r="BG8" s="37"/>
      <c r="BH8" s="37"/>
      <c r="BI8" s="37"/>
      <c r="BJ8" s="37"/>
      <c r="BK8" s="37"/>
    </row>
    <row r="9" spans="4:68" ht="15.6" x14ac:dyDescent="0.3">
      <c r="D9" s="37"/>
      <c r="E9" s="41"/>
      <c r="F9" s="20">
        <v>3</v>
      </c>
      <c r="G9" s="21">
        <v>1003</v>
      </c>
      <c r="H9" s="22" t="s">
        <v>5</v>
      </c>
      <c r="I9" s="61">
        <f t="shared" si="8"/>
        <v>5</v>
      </c>
      <c r="J9" s="64" t="s">
        <v>42</v>
      </c>
      <c r="K9" s="64" t="str">
        <f t="shared" si="3"/>
        <v>WO</v>
      </c>
      <c r="L9" s="64" t="s">
        <v>42</v>
      </c>
      <c r="M9" s="64" t="s">
        <v>42</v>
      </c>
      <c r="N9" s="64" t="s">
        <v>42</v>
      </c>
      <c r="O9" s="64" t="s">
        <v>42</v>
      </c>
      <c r="P9" s="64" t="s">
        <v>43</v>
      </c>
      <c r="Q9" s="64" t="s">
        <v>42</v>
      </c>
      <c r="R9" s="64" t="str">
        <f t="shared" si="3"/>
        <v>WO</v>
      </c>
      <c r="S9" s="64" t="s">
        <v>42</v>
      </c>
      <c r="T9" s="64" t="s">
        <v>42</v>
      </c>
      <c r="U9" s="64" t="s">
        <v>44</v>
      </c>
      <c r="V9" s="64" t="s">
        <v>42</v>
      </c>
      <c r="W9" s="64" t="s">
        <v>42</v>
      </c>
      <c r="X9" s="64" t="s">
        <v>42</v>
      </c>
      <c r="Y9" s="64" t="str">
        <f t="shared" si="3"/>
        <v>WO</v>
      </c>
      <c r="Z9" s="64" t="s">
        <v>42</v>
      </c>
      <c r="AA9" s="64" t="s">
        <v>42</v>
      </c>
      <c r="AB9" s="64" t="s">
        <v>44</v>
      </c>
      <c r="AC9" s="64" t="s">
        <v>42</v>
      </c>
      <c r="AD9" s="64" t="s">
        <v>42</v>
      </c>
      <c r="AE9" s="64" t="s">
        <v>42</v>
      </c>
      <c r="AF9" s="64" t="str">
        <f t="shared" si="3"/>
        <v>WO</v>
      </c>
      <c r="AG9" s="64" t="s">
        <v>42</v>
      </c>
      <c r="AH9" s="64" t="s">
        <v>43</v>
      </c>
      <c r="AI9" s="64" t="s">
        <v>42</v>
      </c>
      <c r="AJ9" s="64" t="s">
        <v>44</v>
      </c>
      <c r="AK9" s="64" t="s">
        <v>42</v>
      </c>
      <c r="AL9" s="64" t="s">
        <v>42</v>
      </c>
      <c r="AM9" s="64" t="str">
        <f t="shared" si="3"/>
        <v>WO</v>
      </c>
      <c r="AN9" s="73" t="s">
        <v>42</v>
      </c>
      <c r="AO9" s="39"/>
      <c r="AP9" s="28">
        <v>3</v>
      </c>
      <c r="AQ9" s="21">
        <v>1003</v>
      </c>
      <c r="AR9" s="33" t="str">
        <f t="shared" si="4"/>
        <v>March</v>
      </c>
      <c r="AS9" s="21" t="s">
        <v>5</v>
      </c>
      <c r="AT9" s="29">
        <f t="shared" si="5"/>
        <v>21</v>
      </c>
      <c r="AU9" s="29">
        <f t="shared" si="9"/>
        <v>2</v>
      </c>
      <c r="AV9" s="29">
        <f t="shared" si="6"/>
        <v>3</v>
      </c>
      <c r="AW9" s="29">
        <f t="shared" si="7"/>
        <v>5</v>
      </c>
      <c r="AX9" s="30">
        <f t="shared" si="10"/>
        <v>31</v>
      </c>
      <c r="AY9" s="29">
        <f>MARReport[[#This Row],[Days]]-MARReport[[#This Row],[Adsent]]</f>
        <v>29</v>
      </c>
      <c r="AZ9" s="31">
        <v>25000</v>
      </c>
      <c r="BA9" s="32">
        <f>MARReport[[#This Row],[Salary]]/MARReport[[#This Row],[Days]]</f>
        <v>806.45161290322585</v>
      </c>
      <c r="BB9" s="31">
        <f>MARReport[[#This Row],[Perday salary]]*MARReport[[#This Row],[Adsent]]</f>
        <v>1612.9032258064517</v>
      </c>
      <c r="BC9" s="31">
        <f>MARReport[[#This Row],[Salary]]-MARReport[[#This Row],[Detuction ]]</f>
        <v>23387.096774193549</v>
      </c>
      <c r="BD9" s="29"/>
      <c r="BE9" s="39"/>
      <c r="BF9" s="37"/>
      <c r="BG9" s="37"/>
      <c r="BH9" s="37"/>
      <c r="BI9" s="37"/>
      <c r="BJ9" s="37"/>
      <c r="BK9" s="37"/>
    </row>
    <row r="10" spans="4:68" ht="15.6" x14ac:dyDescent="0.3">
      <c r="D10" s="37"/>
      <c r="E10" s="41"/>
      <c r="F10" s="20">
        <v>4</v>
      </c>
      <c r="G10" s="21">
        <v>1004</v>
      </c>
      <c r="H10" s="22" t="s">
        <v>6</v>
      </c>
      <c r="I10" s="61">
        <f t="shared" si="8"/>
        <v>5</v>
      </c>
      <c r="J10" s="64" t="s">
        <v>43</v>
      </c>
      <c r="K10" s="64" t="str">
        <f t="shared" si="3"/>
        <v>WO</v>
      </c>
      <c r="L10" s="64" t="s">
        <v>42</v>
      </c>
      <c r="M10" s="64" t="s">
        <v>42</v>
      </c>
      <c r="N10" s="64" t="s">
        <v>42</v>
      </c>
      <c r="O10" s="64" t="s">
        <v>42</v>
      </c>
      <c r="P10" s="64" t="s">
        <v>42</v>
      </c>
      <c r="Q10" s="64" t="s">
        <v>42</v>
      </c>
      <c r="R10" s="64" t="str">
        <f t="shared" si="3"/>
        <v>WO</v>
      </c>
      <c r="S10" s="64" t="s">
        <v>42</v>
      </c>
      <c r="T10" s="64" t="s">
        <v>42</v>
      </c>
      <c r="U10" s="64" t="s">
        <v>44</v>
      </c>
      <c r="V10" s="64" t="s">
        <v>42</v>
      </c>
      <c r="W10" s="64" t="s">
        <v>42</v>
      </c>
      <c r="X10" s="64" t="s">
        <v>43</v>
      </c>
      <c r="Y10" s="64" t="str">
        <f t="shared" si="3"/>
        <v>WO</v>
      </c>
      <c r="Z10" s="64" t="s">
        <v>42</v>
      </c>
      <c r="AA10" s="64" t="s">
        <v>42</v>
      </c>
      <c r="AB10" s="64" t="s">
        <v>44</v>
      </c>
      <c r="AC10" s="64" t="s">
        <v>42</v>
      </c>
      <c r="AD10" s="64" t="s">
        <v>43</v>
      </c>
      <c r="AE10" s="64" t="s">
        <v>42</v>
      </c>
      <c r="AF10" s="64" t="str">
        <f t="shared" si="3"/>
        <v>WO</v>
      </c>
      <c r="AG10" s="64" t="s">
        <v>42</v>
      </c>
      <c r="AH10" s="64" t="s">
        <v>43</v>
      </c>
      <c r="AI10" s="64" t="s">
        <v>42</v>
      </c>
      <c r="AJ10" s="64" t="s">
        <v>44</v>
      </c>
      <c r="AK10" s="64" t="s">
        <v>42</v>
      </c>
      <c r="AL10" s="64" t="s">
        <v>42</v>
      </c>
      <c r="AM10" s="64" t="str">
        <f t="shared" si="3"/>
        <v>WO</v>
      </c>
      <c r="AN10" s="73" t="s">
        <v>42</v>
      </c>
      <c r="AO10" s="39"/>
      <c r="AP10" s="28">
        <v>4</v>
      </c>
      <c r="AQ10" s="21">
        <v>1004</v>
      </c>
      <c r="AR10" s="33" t="str">
        <f t="shared" si="4"/>
        <v>March</v>
      </c>
      <c r="AS10" s="21" t="s">
        <v>6</v>
      </c>
      <c r="AT10" s="29">
        <f t="shared" si="5"/>
        <v>19</v>
      </c>
      <c r="AU10" s="29">
        <f t="shared" si="9"/>
        <v>4</v>
      </c>
      <c r="AV10" s="29">
        <f t="shared" si="6"/>
        <v>3</v>
      </c>
      <c r="AW10" s="29">
        <f t="shared" si="7"/>
        <v>5</v>
      </c>
      <c r="AX10" s="30">
        <f t="shared" si="10"/>
        <v>31</v>
      </c>
      <c r="AY10" s="29">
        <f>MARReport[[#This Row],[Days]]-MARReport[[#This Row],[Adsent]]</f>
        <v>27</v>
      </c>
      <c r="AZ10" s="31">
        <v>30000</v>
      </c>
      <c r="BA10" s="32">
        <f>MARReport[[#This Row],[Salary]]/MARReport[[#This Row],[Days]]</f>
        <v>967.74193548387098</v>
      </c>
      <c r="BB10" s="31">
        <f>MARReport[[#This Row],[Perday salary]]*MARReport[[#This Row],[Adsent]]</f>
        <v>3870.9677419354839</v>
      </c>
      <c r="BC10" s="31">
        <f>MARReport[[#This Row],[Salary]]-MARReport[[#This Row],[Detuction ]]</f>
        <v>26129.032258064515</v>
      </c>
      <c r="BD10" s="29"/>
      <c r="BE10" s="39"/>
      <c r="BF10" s="37"/>
      <c r="BG10" s="37"/>
      <c r="BH10" s="37"/>
      <c r="BI10" s="37"/>
      <c r="BJ10" s="37"/>
      <c r="BK10" s="37"/>
    </row>
    <row r="11" spans="4:68" ht="15.6" x14ac:dyDescent="0.3">
      <c r="D11" s="37"/>
      <c r="E11" s="41"/>
      <c r="F11" s="20">
        <v>5</v>
      </c>
      <c r="G11" s="21">
        <v>1005</v>
      </c>
      <c r="H11" s="22" t="s">
        <v>7</v>
      </c>
      <c r="I11" s="61">
        <f t="shared" si="8"/>
        <v>5</v>
      </c>
      <c r="J11" s="64" t="s">
        <v>42</v>
      </c>
      <c r="K11" s="64" t="str">
        <f t="shared" si="3"/>
        <v>WO</v>
      </c>
      <c r="L11" s="64" t="s">
        <v>42</v>
      </c>
      <c r="M11" s="64" t="s">
        <v>42</v>
      </c>
      <c r="N11" s="64" t="s">
        <v>42</v>
      </c>
      <c r="O11" s="64" t="s">
        <v>42</v>
      </c>
      <c r="P11" s="64" t="s">
        <v>42</v>
      </c>
      <c r="Q11" s="64" t="s">
        <v>42</v>
      </c>
      <c r="R11" s="64" t="str">
        <f t="shared" si="3"/>
        <v>WO</v>
      </c>
      <c r="S11" s="64" t="s">
        <v>42</v>
      </c>
      <c r="T11" s="64" t="s">
        <v>42</v>
      </c>
      <c r="U11" s="64" t="s">
        <v>44</v>
      </c>
      <c r="V11" s="64" t="s">
        <v>42</v>
      </c>
      <c r="W11" s="64" t="s">
        <v>42</v>
      </c>
      <c r="X11" s="64" t="s">
        <v>42</v>
      </c>
      <c r="Y11" s="64" t="str">
        <f t="shared" si="3"/>
        <v>WO</v>
      </c>
      <c r="Z11" s="64" t="s">
        <v>42</v>
      </c>
      <c r="AA11" s="64" t="s">
        <v>42</v>
      </c>
      <c r="AB11" s="64" t="s">
        <v>44</v>
      </c>
      <c r="AC11" s="64" t="s">
        <v>42</v>
      </c>
      <c r="AD11" s="64" t="s">
        <v>42</v>
      </c>
      <c r="AE11" s="64" t="s">
        <v>42</v>
      </c>
      <c r="AF11" s="64" t="str">
        <f t="shared" si="3"/>
        <v>WO</v>
      </c>
      <c r="AG11" s="64" t="s">
        <v>42</v>
      </c>
      <c r="AH11" s="64" t="s">
        <v>42</v>
      </c>
      <c r="AI11" s="64" t="s">
        <v>42</v>
      </c>
      <c r="AJ11" s="64" t="s">
        <v>44</v>
      </c>
      <c r="AK11" s="64" t="s">
        <v>42</v>
      </c>
      <c r="AL11" s="64" t="s">
        <v>43</v>
      </c>
      <c r="AM11" s="64" t="str">
        <f t="shared" si="3"/>
        <v>WO</v>
      </c>
      <c r="AN11" s="73" t="s">
        <v>42</v>
      </c>
      <c r="AO11" s="39"/>
      <c r="AP11" s="28">
        <v>5</v>
      </c>
      <c r="AQ11" s="21">
        <v>1005</v>
      </c>
      <c r="AR11" s="33" t="str">
        <f t="shared" si="4"/>
        <v>March</v>
      </c>
      <c r="AS11" s="21" t="s">
        <v>7</v>
      </c>
      <c r="AT11" s="29">
        <f t="shared" si="5"/>
        <v>22</v>
      </c>
      <c r="AU11" s="29">
        <f t="shared" si="9"/>
        <v>1</v>
      </c>
      <c r="AV11" s="29">
        <f t="shared" si="6"/>
        <v>3</v>
      </c>
      <c r="AW11" s="29">
        <f t="shared" si="7"/>
        <v>5</v>
      </c>
      <c r="AX11" s="30">
        <f t="shared" si="10"/>
        <v>31</v>
      </c>
      <c r="AY11" s="29">
        <f>MARReport[[#This Row],[Days]]-MARReport[[#This Row],[Adsent]]</f>
        <v>30</v>
      </c>
      <c r="AZ11" s="31">
        <v>45000</v>
      </c>
      <c r="BA11" s="32">
        <f>MARReport[[#This Row],[Salary]]/MARReport[[#This Row],[Days]]</f>
        <v>1451.6129032258063</v>
      </c>
      <c r="BB11" s="31">
        <f>MARReport[[#This Row],[Perday salary]]*MARReport[[#This Row],[Adsent]]</f>
        <v>1451.6129032258063</v>
      </c>
      <c r="BC11" s="31">
        <f>MARReport[[#This Row],[Salary]]-MARReport[[#This Row],[Detuction ]]</f>
        <v>43548.387096774197</v>
      </c>
      <c r="BD11" s="29"/>
      <c r="BE11" s="39"/>
      <c r="BF11" s="37"/>
      <c r="BG11" s="37"/>
      <c r="BH11" s="37"/>
      <c r="BI11" s="37"/>
      <c r="BJ11" s="37"/>
      <c r="BK11" s="37"/>
    </row>
    <row r="12" spans="4:68" ht="15.6" x14ac:dyDescent="0.3">
      <c r="D12" s="37"/>
      <c r="E12" s="41"/>
      <c r="F12" s="20">
        <v>6</v>
      </c>
      <c r="G12" s="21">
        <v>1006</v>
      </c>
      <c r="H12" s="22" t="s">
        <v>8</v>
      </c>
      <c r="I12" s="61">
        <f t="shared" si="8"/>
        <v>5</v>
      </c>
      <c r="J12" s="64" t="s">
        <v>42</v>
      </c>
      <c r="K12" s="64" t="str">
        <f t="shared" si="3"/>
        <v>WO</v>
      </c>
      <c r="L12" s="64" t="s">
        <v>42</v>
      </c>
      <c r="M12" s="64" t="s">
        <v>42</v>
      </c>
      <c r="N12" s="64" t="s">
        <v>42</v>
      </c>
      <c r="O12" s="64" t="s">
        <v>42</v>
      </c>
      <c r="P12" s="64" t="s">
        <v>42</v>
      </c>
      <c r="Q12" s="64" t="s">
        <v>42</v>
      </c>
      <c r="R12" s="64" t="str">
        <f t="shared" si="3"/>
        <v>WO</v>
      </c>
      <c r="S12" s="64" t="s">
        <v>42</v>
      </c>
      <c r="T12" s="64" t="s">
        <v>42</v>
      </c>
      <c r="U12" s="64" t="s">
        <v>44</v>
      </c>
      <c r="V12" s="64" t="s">
        <v>42</v>
      </c>
      <c r="W12" s="64" t="s">
        <v>42</v>
      </c>
      <c r="X12" s="64" t="s">
        <v>42</v>
      </c>
      <c r="Y12" s="64" t="str">
        <f t="shared" si="3"/>
        <v>WO</v>
      </c>
      <c r="Z12" s="64" t="s">
        <v>42</v>
      </c>
      <c r="AA12" s="64" t="s">
        <v>42</v>
      </c>
      <c r="AB12" s="64" t="s">
        <v>44</v>
      </c>
      <c r="AC12" s="64" t="s">
        <v>42</v>
      </c>
      <c r="AD12" s="64" t="s">
        <v>42</v>
      </c>
      <c r="AE12" s="64" t="s">
        <v>42</v>
      </c>
      <c r="AF12" s="64" t="str">
        <f t="shared" si="3"/>
        <v>WO</v>
      </c>
      <c r="AG12" s="64" t="s">
        <v>42</v>
      </c>
      <c r="AH12" s="64" t="s">
        <v>42</v>
      </c>
      <c r="AI12" s="64" t="s">
        <v>42</v>
      </c>
      <c r="AJ12" s="64" t="s">
        <v>44</v>
      </c>
      <c r="AK12" s="64" t="s">
        <v>42</v>
      </c>
      <c r="AL12" s="64" t="s">
        <v>42</v>
      </c>
      <c r="AM12" s="64" t="str">
        <f t="shared" si="3"/>
        <v>WO</v>
      </c>
      <c r="AN12" s="73" t="s">
        <v>42</v>
      </c>
      <c r="AO12" s="39"/>
      <c r="AP12" s="28">
        <v>6</v>
      </c>
      <c r="AQ12" s="21">
        <v>1006</v>
      </c>
      <c r="AR12" s="33" t="str">
        <f t="shared" si="4"/>
        <v>March</v>
      </c>
      <c r="AS12" s="21" t="s">
        <v>8</v>
      </c>
      <c r="AT12" s="29">
        <f t="shared" si="5"/>
        <v>23</v>
      </c>
      <c r="AU12" s="29">
        <f t="shared" si="9"/>
        <v>0</v>
      </c>
      <c r="AV12" s="29">
        <f t="shared" si="6"/>
        <v>3</v>
      </c>
      <c r="AW12" s="29">
        <f t="shared" si="7"/>
        <v>5</v>
      </c>
      <c r="AX12" s="30">
        <f t="shared" si="10"/>
        <v>31</v>
      </c>
      <c r="AY12" s="29">
        <f>MARReport[[#This Row],[Days]]-MARReport[[#This Row],[Adsent]]</f>
        <v>31</v>
      </c>
      <c r="AZ12" s="31">
        <v>15000</v>
      </c>
      <c r="BA12" s="32">
        <f>MARReport[[#This Row],[Salary]]/MARReport[[#This Row],[Days]]</f>
        <v>483.87096774193549</v>
      </c>
      <c r="BB12" s="31">
        <f>MARReport[[#This Row],[Perday salary]]*MARReport[[#This Row],[Adsent]]</f>
        <v>0</v>
      </c>
      <c r="BC12" s="31">
        <f>MARReport[[#This Row],[Salary]]-MARReport[[#This Row],[Detuction ]]</f>
        <v>15000</v>
      </c>
      <c r="BD12" s="29"/>
      <c r="BE12" s="39"/>
      <c r="BF12" s="37"/>
      <c r="BG12" s="37"/>
      <c r="BH12" s="37"/>
      <c r="BI12" s="37"/>
      <c r="BJ12" s="37"/>
      <c r="BK12" s="37"/>
    </row>
    <row r="13" spans="4:68" ht="15.6" x14ac:dyDescent="0.3">
      <c r="D13" s="37"/>
      <c r="E13" s="41"/>
      <c r="F13" s="20">
        <v>7</v>
      </c>
      <c r="G13" s="21">
        <v>1007</v>
      </c>
      <c r="H13" s="22" t="s">
        <v>9</v>
      </c>
      <c r="I13" s="61">
        <f t="shared" si="8"/>
        <v>5</v>
      </c>
      <c r="J13" s="64" t="s">
        <v>42</v>
      </c>
      <c r="K13" s="64" t="str">
        <f t="shared" si="3"/>
        <v>WO</v>
      </c>
      <c r="L13" s="64" t="s">
        <v>42</v>
      </c>
      <c r="M13" s="64" t="s">
        <v>42</v>
      </c>
      <c r="N13" s="64" t="s">
        <v>42</v>
      </c>
      <c r="O13" s="64" t="s">
        <v>43</v>
      </c>
      <c r="P13" s="64" t="s">
        <v>42</v>
      </c>
      <c r="Q13" s="64" t="s">
        <v>42</v>
      </c>
      <c r="R13" s="64" t="str">
        <f t="shared" si="3"/>
        <v>WO</v>
      </c>
      <c r="S13" s="64" t="s">
        <v>42</v>
      </c>
      <c r="T13" s="64" t="s">
        <v>42</v>
      </c>
      <c r="U13" s="64" t="s">
        <v>44</v>
      </c>
      <c r="V13" s="64" t="s">
        <v>42</v>
      </c>
      <c r="W13" s="64" t="s">
        <v>42</v>
      </c>
      <c r="X13" s="64" t="s">
        <v>42</v>
      </c>
      <c r="Y13" s="64" t="str">
        <f t="shared" si="3"/>
        <v>WO</v>
      </c>
      <c r="Z13" s="64" t="s">
        <v>42</v>
      </c>
      <c r="AA13" s="64" t="s">
        <v>42</v>
      </c>
      <c r="AB13" s="64" t="s">
        <v>44</v>
      </c>
      <c r="AC13" s="64" t="s">
        <v>42</v>
      </c>
      <c r="AD13" s="64" t="s">
        <v>42</v>
      </c>
      <c r="AE13" s="64" t="s">
        <v>42</v>
      </c>
      <c r="AF13" s="64" t="str">
        <f t="shared" si="3"/>
        <v>WO</v>
      </c>
      <c r="AG13" s="64" t="s">
        <v>42</v>
      </c>
      <c r="AH13" s="64" t="s">
        <v>42</v>
      </c>
      <c r="AI13" s="64" t="s">
        <v>42</v>
      </c>
      <c r="AJ13" s="64" t="s">
        <v>44</v>
      </c>
      <c r="AK13" s="64" t="s">
        <v>42</v>
      </c>
      <c r="AL13" s="64" t="s">
        <v>42</v>
      </c>
      <c r="AM13" s="64" t="str">
        <f t="shared" si="3"/>
        <v>WO</v>
      </c>
      <c r="AN13" s="73" t="s">
        <v>42</v>
      </c>
      <c r="AO13" s="39"/>
      <c r="AP13" s="28">
        <v>7</v>
      </c>
      <c r="AQ13" s="21">
        <v>1007</v>
      </c>
      <c r="AR13" s="33" t="str">
        <f t="shared" si="4"/>
        <v>March</v>
      </c>
      <c r="AS13" s="21" t="s">
        <v>9</v>
      </c>
      <c r="AT13" s="29">
        <f t="shared" si="5"/>
        <v>22</v>
      </c>
      <c r="AU13" s="29">
        <f t="shared" si="9"/>
        <v>1</v>
      </c>
      <c r="AV13" s="29">
        <f t="shared" si="6"/>
        <v>3</v>
      </c>
      <c r="AW13" s="29">
        <f t="shared" si="7"/>
        <v>5</v>
      </c>
      <c r="AX13" s="30">
        <f t="shared" si="10"/>
        <v>31</v>
      </c>
      <c r="AY13" s="29">
        <f>MARReport[[#This Row],[Days]]-MARReport[[#This Row],[Adsent]]</f>
        <v>30</v>
      </c>
      <c r="AZ13" s="31">
        <v>62000</v>
      </c>
      <c r="BA13" s="32">
        <f>MARReport[[#This Row],[Salary]]/MARReport[[#This Row],[Days]]</f>
        <v>2000</v>
      </c>
      <c r="BB13" s="31">
        <f>MARReport[[#This Row],[Perday salary]]*MARReport[[#This Row],[Adsent]]</f>
        <v>2000</v>
      </c>
      <c r="BC13" s="31">
        <f>MARReport[[#This Row],[Salary]]-MARReport[[#This Row],[Detuction ]]</f>
        <v>60000</v>
      </c>
      <c r="BD13" s="29"/>
      <c r="BE13" s="39"/>
      <c r="BF13" s="37"/>
      <c r="BG13" s="37"/>
      <c r="BH13" s="37"/>
      <c r="BI13" s="37"/>
      <c r="BJ13" s="37"/>
      <c r="BK13" s="37"/>
    </row>
    <row r="14" spans="4:68" ht="15.6" x14ac:dyDescent="0.3">
      <c r="D14" s="37"/>
      <c r="E14" s="41"/>
      <c r="F14" s="20">
        <v>8</v>
      </c>
      <c r="G14" s="21">
        <v>1008</v>
      </c>
      <c r="H14" s="22" t="s">
        <v>10</v>
      </c>
      <c r="I14" s="61">
        <f t="shared" si="8"/>
        <v>5</v>
      </c>
      <c r="J14" s="64" t="s">
        <v>42</v>
      </c>
      <c r="K14" s="64" t="str">
        <f t="shared" si="3"/>
        <v>WO</v>
      </c>
      <c r="L14" s="64" t="s">
        <v>42</v>
      </c>
      <c r="M14" s="64" t="s">
        <v>42</v>
      </c>
      <c r="N14" s="64" t="s">
        <v>42</v>
      </c>
      <c r="O14" s="64" t="s">
        <v>42</v>
      </c>
      <c r="P14" s="64" t="s">
        <v>42</v>
      </c>
      <c r="Q14" s="64" t="s">
        <v>42</v>
      </c>
      <c r="R14" s="64" t="str">
        <f t="shared" si="3"/>
        <v>WO</v>
      </c>
      <c r="S14" s="64" t="s">
        <v>42</v>
      </c>
      <c r="T14" s="64" t="s">
        <v>42</v>
      </c>
      <c r="U14" s="64" t="s">
        <v>44</v>
      </c>
      <c r="V14" s="64" t="s">
        <v>42</v>
      </c>
      <c r="W14" s="64" t="s">
        <v>42</v>
      </c>
      <c r="X14" s="64" t="s">
        <v>42</v>
      </c>
      <c r="Y14" s="64" t="str">
        <f t="shared" si="3"/>
        <v>WO</v>
      </c>
      <c r="Z14" s="64" t="s">
        <v>42</v>
      </c>
      <c r="AA14" s="64" t="s">
        <v>42</v>
      </c>
      <c r="AB14" s="64" t="s">
        <v>44</v>
      </c>
      <c r="AC14" s="64" t="s">
        <v>42</v>
      </c>
      <c r="AD14" s="64" t="s">
        <v>42</v>
      </c>
      <c r="AE14" s="64" t="s">
        <v>42</v>
      </c>
      <c r="AF14" s="64" t="str">
        <f t="shared" si="3"/>
        <v>WO</v>
      </c>
      <c r="AG14" s="64" t="s">
        <v>42</v>
      </c>
      <c r="AH14" s="64" t="s">
        <v>42</v>
      </c>
      <c r="AI14" s="64" t="s">
        <v>42</v>
      </c>
      <c r="AJ14" s="64" t="s">
        <v>44</v>
      </c>
      <c r="AK14" s="64" t="s">
        <v>42</v>
      </c>
      <c r="AL14" s="64" t="s">
        <v>42</v>
      </c>
      <c r="AM14" s="64" t="str">
        <f t="shared" si="3"/>
        <v>WO</v>
      </c>
      <c r="AN14" s="73" t="s">
        <v>42</v>
      </c>
      <c r="AO14" s="39"/>
      <c r="AP14" s="28">
        <v>8</v>
      </c>
      <c r="AQ14" s="21">
        <v>1008</v>
      </c>
      <c r="AR14" s="33" t="str">
        <f t="shared" si="4"/>
        <v>March</v>
      </c>
      <c r="AS14" s="21" t="s">
        <v>10</v>
      </c>
      <c r="AT14" s="29">
        <f t="shared" si="5"/>
        <v>23</v>
      </c>
      <c r="AU14" s="29">
        <f t="shared" si="9"/>
        <v>0</v>
      </c>
      <c r="AV14" s="29">
        <f t="shared" si="6"/>
        <v>3</v>
      </c>
      <c r="AW14" s="29">
        <f t="shared" si="7"/>
        <v>5</v>
      </c>
      <c r="AX14" s="30">
        <f t="shared" si="10"/>
        <v>31</v>
      </c>
      <c r="AY14" s="29">
        <f>MARReport[[#This Row],[Days]]-MARReport[[#This Row],[Adsent]]</f>
        <v>31</v>
      </c>
      <c r="AZ14" s="31">
        <v>50000</v>
      </c>
      <c r="BA14" s="32">
        <f>MARReport[[#This Row],[Salary]]/MARReport[[#This Row],[Days]]</f>
        <v>1612.9032258064517</v>
      </c>
      <c r="BB14" s="31">
        <f>MARReport[[#This Row],[Perday salary]]*MARReport[[#This Row],[Adsent]]</f>
        <v>0</v>
      </c>
      <c r="BC14" s="31">
        <f>MARReport[[#This Row],[Salary]]-MARReport[[#This Row],[Detuction ]]</f>
        <v>50000</v>
      </c>
      <c r="BD14" s="29"/>
      <c r="BE14" s="39"/>
      <c r="BF14" s="37"/>
      <c r="BG14" s="37"/>
      <c r="BH14" s="37"/>
      <c r="BI14" s="37"/>
      <c r="BJ14" s="37"/>
      <c r="BK14" s="37"/>
    </row>
    <row r="15" spans="4:68" ht="15.6" x14ac:dyDescent="0.3">
      <c r="D15" s="37"/>
      <c r="E15" s="41"/>
      <c r="F15" s="20">
        <v>9</v>
      </c>
      <c r="G15" s="21">
        <v>1009</v>
      </c>
      <c r="H15" s="22" t="s">
        <v>11</v>
      </c>
      <c r="I15" s="61">
        <f t="shared" si="8"/>
        <v>5</v>
      </c>
      <c r="J15" s="64" t="s">
        <v>42</v>
      </c>
      <c r="K15" s="64" t="str">
        <f t="shared" si="3"/>
        <v>WO</v>
      </c>
      <c r="L15" s="64" t="s">
        <v>42</v>
      </c>
      <c r="M15" s="64" t="s">
        <v>42</v>
      </c>
      <c r="N15" s="64" t="s">
        <v>42</v>
      </c>
      <c r="O15" s="64" t="s">
        <v>42</v>
      </c>
      <c r="P15" s="64" t="s">
        <v>42</v>
      </c>
      <c r="Q15" s="64" t="s">
        <v>42</v>
      </c>
      <c r="R15" s="64" t="str">
        <f t="shared" si="3"/>
        <v>WO</v>
      </c>
      <c r="S15" s="64" t="s">
        <v>42</v>
      </c>
      <c r="T15" s="64" t="s">
        <v>42</v>
      </c>
      <c r="U15" s="64" t="s">
        <v>44</v>
      </c>
      <c r="V15" s="64" t="s">
        <v>42</v>
      </c>
      <c r="W15" s="64" t="s">
        <v>43</v>
      </c>
      <c r="X15" s="64" t="s">
        <v>42</v>
      </c>
      <c r="Y15" s="64" t="str">
        <f t="shared" si="3"/>
        <v>WO</v>
      </c>
      <c r="Z15" s="64" t="s">
        <v>42</v>
      </c>
      <c r="AA15" s="64" t="s">
        <v>42</v>
      </c>
      <c r="AB15" s="64" t="s">
        <v>44</v>
      </c>
      <c r="AC15" s="64" t="s">
        <v>42</v>
      </c>
      <c r="AD15" s="64" t="s">
        <v>42</v>
      </c>
      <c r="AE15" s="64" t="s">
        <v>42</v>
      </c>
      <c r="AF15" s="64" t="str">
        <f t="shared" ref="AF15:AM26" si="11">IF(AF$5="Sun","WO","")</f>
        <v>WO</v>
      </c>
      <c r="AG15" s="64" t="s">
        <v>42</v>
      </c>
      <c r="AH15" s="64" t="s">
        <v>42</v>
      </c>
      <c r="AI15" s="64" t="s">
        <v>42</v>
      </c>
      <c r="AJ15" s="64" t="s">
        <v>44</v>
      </c>
      <c r="AK15" s="64" t="s">
        <v>42</v>
      </c>
      <c r="AL15" s="64" t="s">
        <v>43</v>
      </c>
      <c r="AM15" s="64" t="str">
        <f t="shared" si="11"/>
        <v>WO</v>
      </c>
      <c r="AN15" s="73" t="s">
        <v>42</v>
      </c>
      <c r="AO15" s="39"/>
      <c r="AP15" s="28">
        <v>9</v>
      </c>
      <c r="AQ15" s="21">
        <v>1009</v>
      </c>
      <c r="AR15" s="33" t="str">
        <f t="shared" si="4"/>
        <v>March</v>
      </c>
      <c r="AS15" s="21" t="s">
        <v>11</v>
      </c>
      <c r="AT15" s="29">
        <f t="shared" si="5"/>
        <v>21</v>
      </c>
      <c r="AU15" s="29">
        <f t="shared" si="9"/>
        <v>2</v>
      </c>
      <c r="AV15" s="29">
        <f t="shared" si="6"/>
        <v>3</v>
      </c>
      <c r="AW15" s="29">
        <f t="shared" si="7"/>
        <v>5</v>
      </c>
      <c r="AX15" s="30">
        <f t="shared" si="10"/>
        <v>31</v>
      </c>
      <c r="AY15" s="29">
        <f>MARReport[[#This Row],[Days]]-MARReport[[#This Row],[Adsent]]</f>
        <v>29</v>
      </c>
      <c r="AZ15" s="31">
        <v>25000</v>
      </c>
      <c r="BA15" s="32">
        <f>MARReport[[#This Row],[Salary]]/MARReport[[#This Row],[Days]]</f>
        <v>806.45161290322585</v>
      </c>
      <c r="BB15" s="31">
        <f>MARReport[[#This Row],[Perday salary]]*MARReport[[#This Row],[Adsent]]</f>
        <v>1612.9032258064517</v>
      </c>
      <c r="BC15" s="31">
        <f>MARReport[[#This Row],[Salary]]-MARReport[[#This Row],[Detuction ]]</f>
        <v>23387.096774193549</v>
      </c>
      <c r="BD15" s="29"/>
      <c r="BE15" s="39"/>
      <c r="BF15" s="37"/>
      <c r="BG15" s="37"/>
      <c r="BH15" s="37"/>
      <c r="BI15" s="37"/>
      <c r="BJ15" s="37"/>
      <c r="BK15" s="37"/>
    </row>
    <row r="16" spans="4:68" ht="15.6" x14ac:dyDescent="0.3">
      <c r="D16" s="37"/>
      <c r="E16" s="41"/>
      <c r="F16" s="20">
        <v>10</v>
      </c>
      <c r="G16" s="21">
        <v>1010</v>
      </c>
      <c r="H16" s="22" t="s">
        <v>12</v>
      </c>
      <c r="I16" s="61">
        <f t="shared" si="8"/>
        <v>5</v>
      </c>
      <c r="J16" s="64" t="s">
        <v>42</v>
      </c>
      <c r="K16" s="64" t="str">
        <f t="shared" ref="K16:Y26" si="12">IF(K$5="Sun","WO","")</f>
        <v>WO</v>
      </c>
      <c r="L16" s="64" t="s">
        <v>42</v>
      </c>
      <c r="M16" s="64" t="s">
        <v>42</v>
      </c>
      <c r="N16" s="64" t="s">
        <v>42</v>
      </c>
      <c r="O16" s="64" t="s">
        <v>42</v>
      </c>
      <c r="P16" s="64" t="s">
        <v>42</v>
      </c>
      <c r="Q16" s="64" t="s">
        <v>42</v>
      </c>
      <c r="R16" s="64" t="str">
        <f t="shared" si="12"/>
        <v>WO</v>
      </c>
      <c r="S16" s="64" t="s">
        <v>42</v>
      </c>
      <c r="T16" s="64" t="s">
        <v>42</v>
      </c>
      <c r="U16" s="64" t="s">
        <v>44</v>
      </c>
      <c r="V16" s="64" t="s">
        <v>42</v>
      </c>
      <c r="W16" s="64" t="s">
        <v>42</v>
      </c>
      <c r="X16" s="64" t="s">
        <v>42</v>
      </c>
      <c r="Y16" s="64" t="str">
        <f t="shared" si="12"/>
        <v>WO</v>
      </c>
      <c r="Z16" s="64" t="s">
        <v>42</v>
      </c>
      <c r="AA16" s="64" t="s">
        <v>42</v>
      </c>
      <c r="AB16" s="64" t="s">
        <v>44</v>
      </c>
      <c r="AC16" s="64" t="s">
        <v>42</v>
      </c>
      <c r="AD16" s="64" t="s">
        <v>43</v>
      </c>
      <c r="AE16" s="64" t="s">
        <v>42</v>
      </c>
      <c r="AF16" s="64" t="str">
        <f t="shared" si="11"/>
        <v>WO</v>
      </c>
      <c r="AG16" s="64" t="s">
        <v>42</v>
      </c>
      <c r="AH16" s="64" t="s">
        <v>43</v>
      </c>
      <c r="AI16" s="64" t="s">
        <v>43</v>
      </c>
      <c r="AJ16" s="64" t="s">
        <v>44</v>
      </c>
      <c r="AK16" s="64" t="s">
        <v>42</v>
      </c>
      <c r="AL16" s="64" t="s">
        <v>43</v>
      </c>
      <c r="AM16" s="64" t="str">
        <f t="shared" si="11"/>
        <v>WO</v>
      </c>
      <c r="AN16" s="73" t="s">
        <v>42</v>
      </c>
      <c r="AO16" s="39"/>
      <c r="AP16" s="28">
        <v>10</v>
      </c>
      <c r="AQ16" s="21">
        <v>1010</v>
      </c>
      <c r="AR16" s="33" t="str">
        <f t="shared" si="4"/>
        <v>March</v>
      </c>
      <c r="AS16" s="21" t="s">
        <v>12</v>
      </c>
      <c r="AT16" s="29">
        <f t="shared" si="5"/>
        <v>19</v>
      </c>
      <c r="AU16" s="29">
        <f t="shared" si="9"/>
        <v>4</v>
      </c>
      <c r="AV16" s="29">
        <f t="shared" si="6"/>
        <v>3</v>
      </c>
      <c r="AW16" s="29">
        <f t="shared" si="7"/>
        <v>5</v>
      </c>
      <c r="AX16" s="30">
        <f t="shared" si="10"/>
        <v>31</v>
      </c>
      <c r="AY16" s="29">
        <f>MARReport[[#This Row],[Days]]-MARReport[[#This Row],[Adsent]]</f>
        <v>27</v>
      </c>
      <c r="AZ16" s="31">
        <v>45000</v>
      </c>
      <c r="BA16" s="32">
        <f>MARReport[[#This Row],[Salary]]/MARReport[[#This Row],[Days]]</f>
        <v>1451.6129032258063</v>
      </c>
      <c r="BB16" s="31">
        <f>MARReport[[#This Row],[Perday salary]]*MARReport[[#This Row],[Adsent]]</f>
        <v>5806.4516129032254</v>
      </c>
      <c r="BC16" s="31">
        <f>MARReport[[#This Row],[Salary]]-MARReport[[#This Row],[Detuction ]]</f>
        <v>39193.548387096773</v>
      </c>
      <c r="BD16" s="29"/>
      <c r="BE16" s="39"/>
      <c r="BF16" s="37"/>
      <c r="BG16" s="37"/>
      <c r="BH16" s="37"/>
      <c r="BI16" s="37"/>
      <c r="BJ16" s="37"/>
      <c r="BK16" s="37"/>
    </row>
    <row r="17" spans="1:63" ht="15.6" x14ac:dyDescent="0.3">
      <c r="D17" s="37"/>
      <c r="E17" s="41"/>
      <c r="F17" s="20">
        <v>11</v>
      </c>
      <c r="G17" s="21">
        <v>1011</v>
      </c>
      <c r="H17" s="22" t="s">
        <v>13</v>
      </c>
      <c r="I17" s="61">
        <f t="shared" si="8"/>
        <v>5</v>
      </c>
      <c r="J17" s="64" t="s">
        <v>43</v>
      </c>
      <c r="K17" s="64" t="str">
        <f t="shared" si="12"/>
        <v>WO</v>
      </c>
      <c r="L17" s="64" t="s">
        <v>42</v>
      </c>
      <c r="M17" s="64" t="s">
        <v>42</v>
      </c>
      <c r="N17" s="64" t="s">
        <v>42</v>
      </c>
      <c r="O17" s="64" t="s">
        <v>43</v>
      </c>
      <c r="P17" s="64" t="s">
        <v>42</v>
      </c>
      <c r="Q17" s="64" t="s">
        <v>42</v>
      </c>
      <c r="R17" s="64" t="str">
        <f t="shared" si="12"/>
        <v>WO</v>
      </c>
      <c r="S17" s="64" t="s">
        <v>42</v>
      </c>
      <c r="T17" s="64" t="s">
        <v>42</v>
      </c>
      <c r="U17" s="64" t="s">
        <v>44</v>
      </c>
      <c r="V17" s="64" t="s">
        <v>42</v>
      </c>
      <c r="W17" s="64" t="s">
        <v>42</v>
      </c>
      <c r="X17" s="64" t="s">
        <v>42</v>
      </c>
      <c r="Y17" s="64" t="str">
        <f t="shared" si="12"/>
        <v>WO</v>
      </c>
      <c r="Z17" s="64" t="s">
        <v>42</v>
      </c>
      <c r="AA17" s="64" t="s">
        <v>42</v>
      </c>
      <c r="AB17" s="64" t="s">
        <v>44</v>
      </c>
      <c r="AC17" s="64" t="s">
        <v>42</v>
      </c>
      <c r="AD17" s="64" t="s">
        <v>43</v>
      </c>
      <c r="AE17" s="64" t="s">
        <v>42</v>
      </c>
      <c r="AF17" s="64" t="str">
        <f t="shared" si="11"/>
        <v>WO</v>
      </c>
      <c r="AG17" s="64" t="s">
        <v>42</v>
      </c>
      <c r="AH17" s="64" t="s">
        <v>42</v>
      </c>
      <c r="AI17" s="64" t="s">
        <v>42</v>
      </c>
      <c r="AJ17" s="64" t="s">
        <v>44</v>
      </c>
      <c r="AK17" s="64" t="s">
        <v>42</v>
      </c>
      <c r="AL17" s="64" t="s">
        <v>42</v>
      </c>
      <c r="AM17" s="64" t="str">
        <f t="shared" si="11"/>
        <v>WO</v>
      </c>
      <c r="AN17" s="73" t="s">
        <v>42</v>
      </c>
      <c r="AO17" s="39"/>
      <c r="AP17" s="28">
        <v>11</v>
      </c>
      <c r="AQ17" s="21">
        <v>1011</v>
      </c>
      <c r="AR17" s="33" t="str">
        <f t="shared" si="4"/>
        <v>March</v>
      </c>
      <c r="AS17" s="21" t="s">
        <v>13</v>
      </c>
      <c r="AT17" s="29">
        <f t="shared" si="5"/>
        <v>20</v>
      </c>
      <c r="AU17" s="29">
        <f t="shared" si="9"/>
        <v>3</v>
      </c>
      <c r="AV17" s="29">
        <f t="shared" si="6"/>
        <v>3</v>
      </c>
      <c r="AW17" s="29">
        <f t="shared" si="7"/>
        <v>5</v>
      </c>
      <c r="AX17" s="30">
        <f t="shared" si="10"/>
        <v>31</v>
      </c>
      <c r="AY17" s="29">
        <f>MARReport[[#This Row],[Days]]-MARReport[[#This Row],[Adsent]]</f>
        <v>28</v>
      </c>
      <c r="AZ17" s="31">
        <v>48000</v>
      </c>
      <c r="BA17" s="32">
        <f>MARReport[[#This Row],[Salary]]/MARReport[[#This Row],[Days]]</f>
        <v>1548.3870967741937</v>
      </c>
      <c r="BB17" s="31">
        <f>MARReport[[#This Row],[Perday salary]]*MARReport[[#This Row],[Adsent]]</f>
        <v>4645.1612903225814</v>
      </c>
      <c r="BC17" s="31">
        <f>MARReport[[#This Row],[Salary]]-MARReport[[#This Row],[Detuction ]]</f>
        <v>43354.838709677417</v>
      </c>
      <c r="BD17" s="29"/>
      <c r="BE17" s="39"/>
      <c r="BF17" s="37"/>
      <c r="BG17" s="37"/>
      <c r="BH17" s="37"/>
      <c r="BI17" s="37"/>
      <c r="BJ17" s="37"/>
      <c r="BK17" s="37"/>
    </row>
    <row r="18" spans="1:63" ht="15.6" x14ac:dyDescent="0.3">
      <c r="D18" s="37"/>
      <c r="E18" s="41"/>
      <c r="F18" s="20">
        <v>12</v>
      </c>
      <c r="G18" s="21">
        <v>1012</v>
      </c>
      <c r="H18" s="22" t="s">
        <v>14</v>
      </c>
      <c r="I18" s="61">
        <f t="shared" si="8"/>
        <v>5</v>
      </c>
      <c r="J18" s="64" t="s">
        <v>43</v>
      </c>
      <c r="K18" s="64" t="str">
        <f t="shared" si="12"/>
        <v>WO</v>
      </c>
      <c r="L18" s="64" t="s">
        <v>42</v>
      </c>
      <c r="M18" s="64" t="s">
        <v>42</v>
      </c>
      <c r="N18" s="64" t="s">
        <v>42</v>
      </c>
      <c r="O18" s="64" t="s">
        <v>42</v>
      </c>
      <c r="P18" s="64" t="s">
        <v>42</v>
      </c>
      <c r="Q18" s="64" t="s">
        <v>42</v>
      </c>
      <c r="R18" s="64" t="str">
        <f t="shared" si="12"/>
        <v>WO</v>
      </c>
      <c r="S18" s="64" t="s">
        <v>42</v>
      </c>
      <c r="T18" s="64" t="s">
        <v>42</v>
      </c>
      <c r="U18" s="64" t="s">
        <v>44</v>
      </c>
      <c r="V18" s="64" t="s">
        <v>42</v>
      </c>
      <c r="W18" s="64" t="s">
        <v>42</v>
      </c>
      <c r="X18" s="64" t="s">
        <v>42</v>
      </c>
      <c r="Y18" s="64" t="str">
        <f t="shared" si="12"/>
        <v>WO</v>
      </c>
      <c r="Z18" s="64" t="s">
        <v>42</v>
      </c>
      <c r="AA18" s="64" t="s">
        <v>42</v>
      </c>
      <c r="AB18" s="64" t="s">
        <v>44</v>
      </c>
      <c r="AC18" s="64" t="s">
        <v>42</v>
      </c>
      <c r="AD18" s="64" t="s">
        <v>42</v>
      </c>
      <c r="AE18" s="64" t="s">
        <v>42</v>
      </c>
      <c r="AF18" s="64" t="str">
        <f t="shared" si="11"/>
        <v>WO</v>
      </c>
      <c r="AG18" s="64" t="s">
        <v>42</v>
      </c>
      <c r="AH18" s="64" t="s">
        <v>42</v>
      </c>
      <c r="AI18" s="64" t="s">
        <v>42</v>
      </c>
      <c r="AJ18" s="64" t="s">
        <v>44</v>
      </c>
      <c r="AK18" s="64" t="s">
        <v>42</v>
      </c>
      <c r="AL18" s="64" t="s">
        <v>42</v>
      </c>
      <c r="AM18" s="64" t="str">
        <f t="shared" si="11"/>
        <v>WO</v>
      </c>
      <c r="AN18" s="73" t="s">
        <v>42</v>
      </c>
      <c r="AO18" s="39"/>
      <c r="AP18" s="28">
        <v>12</v>
      </c>
      <c r="AQ18" s="21">
        <v>1012</v>
      </c>
      <c r="AR18" s="33" t="str">
        <f t="shared" si="4"/>
        <v>March</v>
      </c>
      <c r="AS18" s="21" t="s">
        <v>14</v>
      </c>
      <c r="AT18" s="29">
        <f t="shared" si="5"/>
        <v>22</v>
      </c>
      <c r="AU18" s="29">
        <f t="shared" si="9"/>
        <v>1</v>
      </c>
      <c r="AV18" s="29">
        <f t="shared" si="6"/>
        <v>3</v>
      </c>
      <c r="AW18" s="29">
        <f t="shared" si="7"/>
        <v>5</v>
      </c>
      <c r="AX18" s="30">
        <f t="shared" si="10"/>
        <v>31</v>
      </c>
      <c r="AY18" s="29">
        <f>MARReport[[#This Row],[Days]]-MARReport[[#This Row],[Adsent]]</f>
        <v>30</v>
      </c>
      <c r="AZ18" s="31">
        <v>52000</v>
      </c>
      <c r="BA18" s="32">
        <f>MARReport[[#This Row],[Salary]]/MARReport[[#This Row],[Days]]</f>
        <v>1677.4193548387098</v>
      </c>
      <c r="BB18" s="31">
        <f>MARReport[[#This Row],[Perday salary]]*MARReport[[#This Row],[Adsent]]</f>
        <v>1677.4193548387098</v>
      </c>
      <c r="BC18" s="31">
        <f>MARReport[[#This Row],[Salary]]-MARReport[[#This Row],[Detuction ]]</f>
        <v>50322.580645161288</v>
      </c>
      <c r="BD18" s="29"/>
      <c r="BE18" s="39"/>
      <c r="BF18" s="37"/>
      <c r="BG18" s="37"/>
      <c r="BH18" s="37"/>
      <c r="BI18" s="37"/>
      <c r="BJ18" s="37"/>
      <c r="BK18" s="37"/>
    </row>
    <row r="19" spans="1:63" ht="15.6" x14ac:dyDescent="0.3">
      <c r="D19" s="37"/>
      <c r="E19" s="41"/>
      <c r="F19" s="20">
        <v>13</v>
      </c>
      <c r="G19" s="21">
        <v>1013</v>
      </c>
      <c r="H19" s="22" t="s">
        <v>15</v>
      </c>
      <c r="I19" s="61">
        <f t="shared" si="8"/>
        <v>5</v>
      </c>
      <c r="J19" s="64" t="s">
        <v>42</v>
      </c>
      <c r="K19" s="64" t="str">
        <f t="shared" si="12"/>
        <v>WO</v>
      </c>
      <c r="L19" s="64" t="s">
        <v>42</v>
      </c>
      <c r="M19" s="64" t="s">
        <v>42</v>
      </c>
      <c r="N19" s="64" t="s">
        <v>42</v>
      </c>
      <c r="O19" s="64" t="s">
        <v>42</v>
      </c>
      <c r="P19" s="64" t="s">
        <v>42</v>
      </c>
      <c r="Q19" s="64" t="s">
        <v>42</v>
      </c>
      <c r="R19" s="64" t="str">
        <f t="shared" si="12"/>
        <v>WO</v>
      </c>
      <c r="S19" s="64" t="s">
        <v>42</v>
      </c>
      <c r="T19" s="64" t="s">
        <v>42</v>
      </c>
      <c r="U19" s="64" t="s">
        <v>44</v>
      </c>
      <c r="V19" s="64" t="s">
        <v>42</v>
      </c>
      <c r="W19" s="64" t="s">
        <v>42</v>
      </c>
      <c r="X19" s="64" t="s">
        <v>42</v>
      </c>
      <c r="Y19" s="64" t="str">
        <f t="shared" si="12"/>
        <v>WO</v>
      </c>
      <c r="Z19" s="64" t="s">
        <v>42</v>
      </c>
      <c r="AA19" s="64" t="s">
        <v>42</v>
      </c>
      <c r="AB19" s="64" t="s">
        <v>44</v>
      </c>
      <c r="AC19" s="64" t="s">
        <v>42</v>
      </c>
      <c r="AD19" s="64" t="s">
        <v>42</v>
      </c>
      <c r="AE19" s="64" t="s">
        <v>42</v>
      </c>
      <c r="AF19" s="64" t="str">
        <f t="shared" si="11"/>
        <v>WO</v>
      </c>
      <c r="AG19" s="64" t="s">
        <v>42</v>
      </c>
      <c r="AH19" s="64" t="s">
        <v>42</v>
      </c>
      <c r="AI19" s="64" t="s">
        <v>42</v>
      </c>
      <c r="AJ19" s="64" t="s">
        <v>44</v>
      </c>
      <c r="AK19" s="64" t="s">
        <v>42</v>
      </c>
      <c r="AL19" s="64" t="s">
        <v>42</v>
      </c>
      <c r="AM19" s="64" t="str">
        <f t="shared" si="11"/>
        <v>WO</v>
      </c>
      <c r="AN19" s="73" t="s">
        <v>42</v>
      </c>
      <c r="AO19" s="39"/>
      <c r="AP19" s="28">
        <v>13</v>
      </c>
      <c r="AQ19" s="21">
        <v>1013</v>
      </c>
      <c r="AR19" s="33" t="str">
        <f t="shared" si="4"/>
        <v>March</v>
      </c>
      <c r="AS19" s="21" t="s">
        <v>15</v>
      </c>
      <c r="AT19" s="29">
        <f t="shared" si="5"/>
        <v>23</v>
      </c>
      <c r="AU19" s="29">
        <f t="shared" si="9"/>
        <v>0</v>
      </c>
      <c r="AV19" s="29">
        <f t="shared" si="6"/>
        <v>3</v>
      </c>
      <c r="AW19" s="29">
        <f t="shared" si="7"/>
        <v>5</v>
      </c>
      <c r="AX19" s="30">
        <f t="shared" si="10"/>
        <v>31</v>
      </c>
      <c r="AY19" s="29">
        <f>MARReport[[#This Row],[Days]]-MARReport[[#This Row],[Adsent]]</f>
        <v>31</v>
      </c>
      <c r="AZ19" s="31">
        <v>42000</v>
      </c>
      <c r="BA19" s="32">
        <f>MARReport[[#This Row],[Salary]]/MARReport[[#This Row],[Days]]</f>
        <v>1354.8387096774193</v>
      </c>
      <c r="BB19" s="31">
        <f>MARReport[[#This Row],[Perday salary]]*MARReport[[#This Row],[Adsent]]</f>
        <v>0</v>
      </c>
      <c r="BC19" s="31">
        <f>MARReport[[#This Row],[Salary]]-MARReport[[#This Row],[Detuction ]]</f>
        <v>42000</v>
      </c>
      <c r="BD19" s="29"/>
      <c r="BE19" s="39"/>
      <c r="BF19" s="37"/>
      <c r="BG19" s="37"/>
      <c r="BH19" s="37"/>
      <c r="BI19" s="37"/>
      <c r="BJ19" s="37"/>
      <c r="BK19" s="37"/>
    </row>
    <row r="20" spans="1:63" ht="15.6" x14ac:dyDescent="0.3">
      <c r="D20" s="37"/>
      <c r="E20" s="41"/>
      <c r="F20" s="20">
        <v>14</v>
      </c>
      <c r="G20" s="21">
        <v>1014</v>
      </c>
      <c r="H20" s="22" t="s">
        <v>16</v>
      </c>
      <c r="I20" s="61">
        <f t="shared" si="8"/>
        <v>5</v>
      </c>
      <c r="J20" s="64" t="s">
        <v>42</v>
      </c>
      <c r="K20" s="64" t="str">
        <f t="shared" si="12"/>
        <v>WO</v>
      </c>
      <c r="L20" s="64" t="s">
        <v>42</v>
      </c>
      <c r="M20" s="64" t="s">
        <v>42</v>
      </c>
      <c r="N20" s="64" t="s">
        <v>42</v>
      </c>
      <c r="O20" s="64" t="s">
        <v>42</v>
      </c>
      <c r="P20" s="64" t="s">
        <v>42</v>
      </c>
      <c r="Q20" s="64" t="s">
        <v>42</v>
      </c>
      <c r="R20" s="64" t="str">
        <f t="shared" si="12"/>
        <v>WO</v>
      </c>
      <c r="S20" s="64" t="s">
        <v>42</v>
      </c>
      <c r="T20" s="64" t="s">
        <v>42</v>
      </c>
      <c r="U20" s="64" t="s">
        <v>44</v>
      </c>
      <c r="V20" s="64" t="s">
        <v>42</v>
      </c>
      <c r="W20" s="64" t="s">
        <v>42</v>
      </c>
      <c r="X20" s="64" t="s">
        <v>42</v>
      </c>
      <c r="Y20" s="64" t="str">
        <f t="shared" si="12"/>
        <v>WO</v>
      </c>
      <c r="Z20" s="64" t="s">
        <v>42</v>
      </c>
      <c r="AA20" s="64" t="s">
        <v>42</v>
      </c>
      <c r="AB20" s="64" t="s">
        <v>44</v>
      </c>
      <c r="AC20" s="64" t="s">
        <v>42</v>
      </c>
      <c r="AD20" s="64" t="s">
        <v>42</v>
      </c>
      <c r="AE20" s="64" t="s">
        <v>42</v>
      </c>
      <c r="AF20" s="64" t="str">
        <f t="shared" si="11"/>
        <v>WO</v>
      </c>
      <c r="AG20" s="64" t="s">
        <v>42</v>
      </c>
      <c r="AH20" s="64" t="s">
        <v>42</v>
      </c>
      <c r="AI20" s="64" t="s">
        <v>42</v>
      </c>
      <c r="AJ20" s="64" t="s">
        <v>44</v>
      </c>
      <c r="AK20" s="64" t="s">
        <v>42</v>
      </c>
      <c r="AL20" s="64" t="s">
        <v>43</v>
      </c>
      <c r="AM20" s="64" t="str">
        <f t="shared" si="11"/>
        <v>WO</v>
      </c>
      <c r="AN20" s="73" t="s">
        <v>42</v>
      </c>
      <c r="AO20" s="39"/>
      <c r="AP20" s="28">
        <v>14</v>
      </c>
      <c r="AQ20" s="21">
        <v>1014</v>
      </c>
      <c r="AR20" s="33" t="str">
        <f t="shared" si="4"/>
        <v>March</v>
      </c>
      <c r="AS20" s="21" t="s">
        <v>16</v>
      </c>
      <c r="AT20" s="29">
        <f t="shared" si="5"/>
        <v>22</v>
      </c>
      <c r="AU20" s="29">
        <f t="shared" si="9"/>
        <v>1</v>
      </c>
      <c r="AV20" s="29">
        <f t="shared" si="6"/>
        <v>3</v>
      </c>
      <c r="AW20" s="29">
        <f t="shared" si="7"/>
        <v>5</v>
      </c>
      <c r="AX20" s="30">
        <f t="shared" si="10"/>
        <v>31</v>
      </c>
      <c r="AY20" s="29">
        <f>MARReport[[#This Row],[Days]]-MARReport[[#This Row],[Adsent]]</f>
        <v>30</v>
      </c>
      <c r="AZ20" s="31">
        <v>15000</v>
      </c>
      <c r="BA20" s="32">
        <f>MARReport[[#This Row],[Salary]]/MARReport[[#This Row],[Days]]</f>
        <v>483.87096774193549</v>
      </c>
      <c r="BB20" s="31">
        <f>MARReport[[#This Row],[Perday salary]]*MARReport[[#This Row],[Adsent]]</f>
        <v>483.87096774193549</v>
      </c>
      <c r="BC20" s="31">
        <f>MARReport[[#This Row],[Salary]]-MARReport[[#This Row],[Detuction ]]</f>
        <v>14516.129032258064</v>
      </c>
      <c r="BD20" s="29"/>
      <c r="BE20" s="39"/>
      <c r="BF20" s="37"/>
      <c r="BG20" s="37"/>
      <c r="BH20" s="37"/>
      <c r="BI20" s="37"/>
      <c r="BJ20" s="37"/>
      <c r="BK20" s="37"/>
    </row>
    <row r="21" spans="1:63" ht="15.6" x14ac:dyDescent="0.3">
      <c r="D21" s="37"/>
      <c r="E21" s="41"/>
      <c r="F21" s="20">
        <v>15</v>
      </c>
      <c r="G21" s="21">
        <v>1015</v>
      </c>
      <c r="H21" s="22" t="s">
        <v>17</v>
      </c>
      <c r="I21" s="61">
        <f t="shared" si="8"/>
        <v>5</v>
      </c>
      <c r="J21" s="64" t="s">
        <v>42</v>
      </c>
      <c r="K21" s="64" t="str">
        <f t="shared" si="12"/>
        <v>WO</v>
      </c>
      <c r="L21" s="64" t="s">
        <v>42</v>
      </c>
      <c r="M21" s="64" t="s">
        <v>42</v>
      </c>
      <c r="N21" s="64" t="s">
        <v>42</v>
      </c>
      <c r="O21" s="64" t="s">
        <v>42</v>
      </c>
      <c r="P21" s="64" t="s">
        <v>43</v>
      </c>
      <c r="Q21" s="64" t="s">
        <v>42</v>
      </c>
      <c r="R21" s="64" t="str">
        <f t="shared" si="12"/>
        <v>WO</v>
      </c>
      <c r="S21" s="64" t="s">
        <v>42</v>
      </c>
      <c r="T21" s="64" t="s">
        <v>42</v>
      </c>
      <c r="U21" s="64" t="s">
        <v>44</v>
      </c>
      <c r="V21" s="64" t="s">
        <v>42</v>
      </c>
      <c r="W21" s="64" t="s">
        <v>43</v>
      </c>
      <c r="X21" s="64" t="s">
        <v>42</v>
      </c>
      <c r="Y21" s="64" t="str">
        <f t="shared" si="12"/>
        <v>WO</v>
      </c>
      <c r="Z21" s="64" t="s">
        <v>42</v>
      </c>
      <c r="AA21" s="64" t="s">
        <v>42</v>
      </c>
      <c r="AB21" s="64" t="s">
        <v>44</v>
      </c>
      <c r="AC21" s="64" t="s">
        <v>42</v>
      </c>
      <c r="AD21" s="64" t="s">
        <v>43</v>
      </c>
      <c r="AE21" s="64" t="s">
        <v>42</v>
      </c>
      <c r="AF21" s="64" t="str">
        <f t="shared" si="11"/>
        <v>WO</v>
      </c>
      <c r="AG21" s="64" t="s">
        <v>42</v>
      </c>
      <c r="AH21" s="64" t="s">
        <v>42</v>
      </c>
      <c r="AI21" s="64" t="s">
        <v>42</v>
      </c>
      <c r="AJ21" s="64" t="s">
        <v>44</v>
      </c>
      <c r="AK21" s="64" t="s">
        <v>42</v>
      </c>
      <c r="AL21" s="64" t="s">
        <v>42</v>
      </c>
      <c r="AM21" s="64" t="str">
        <f t="shared" si="11"/>
        <v>WO</v>
      </c>
      <c r="AN21" s="73" t="s">
        <v>42</v>
      </c>
      <c r="AO21" s="39"/>
      <c r="AP21" s="28">
        <v>15</v>
      </c>
      <c r="AQ21" s="21">
        <v>1015</v>
      </c>
      <c r="AR21" s="33" t="str">
        <f t="shared" si="4"/>
        <v>March</v>
      </c>
      <c r="AS21" s="21" t="s">
        <v>17</v>
      </c>
      <c r="AT21" s="29">
        <f t="shared" si="5"/>
        <v>20</v>
      </c>
      <c r="AU21" s="29">
        <f t="shared" si="9"/>
        <v>3</v>
      </c>
      <c r="AV21" s="29">
        <f t="shared" si="6"/>
        <v>3</v>
      </c>
      <c r="AW21" s="29">
        <f t="shared" si="7"/>
        <v>5</v>
      </c>
      <c r="AX21" s="30">
        <f t="shared" si="10"/>
        <v>31</v>
      </c>
      <c r="AY21" s="29">
        <f>MARReport[[#This Row],[Days]]-MARReport[[#This Row],[Adsent]]</f>
        <v>28</v>
      </c>
      <c r="AZ21" s="31">
        <v>46000</v>
      </c>
      <c r="BA21" s="32">
        <f>MARReport[[#This Row],[Salary]]/MARReport[[#This Row],[Days]]</f>
        <v>1483.8709677419354</v>
      </c>
      <c r="BB21" s="31">
        <f>MARReport[[#This Row],[Perday salary]]*MARReport[[#This Row],[Adsent]]</f>
        <v>4451.6129032258059</v>
      </c>
      <c r="BC21" s="31">
        <f>MARReport[[#This Row],[Salary]]-MARReport[[#This Row],[Detuction ]]</f>
        <v>41548.387096774197</v>
      </c>
      <c r="BD21" s="29"/>
      <c r="BE21" s="39"/>
      <c r="BF21" s="37"/>
      <c r="BG21" s="37"/>
      <c r="BH21" s="37"/>
      <c r="BI21" s="37"/>
      <c r="BJ21" s="37"/>
      <c r="BK21" s="37"/>
    </row>
    <row r="22" spans="1:63" ht="15.6" x14ac:dyDescent="0.3">
      <c r="D22" s="37"/>
      <c r="E22" s="41"/>
      <c r="F22" s="20">
        <v>16</v>
      </c>
      <c r="G22" s="21">
        <v>1016</v>
      </c>
      <c r="H22" s="22" t="s">
        <v>18</v>
      </c>
      <c r="I22" s="61">
        <f t="shared" si="8"/>
        <v>5</v>
      </c>
      <c r="J22" s="64" t="s">
        <v>42</v>
      </c>
      <c r="K22" s="64" t="str">
        <f t="shared" si="12"/>
        <v>WO</v>
      </c>
      <c r="L22" s="64" t="s">
        <v>42</v>
      </c>
      <c r="M22" s="64" t="s">
        <v>42</v>
      </c>
      <c r="N22" s="64" t="s">
        <v>42</v>
      </c>
      <c r="O22" s="64" t="s">
        <v>42</v>
      </c>
      <c r="P22" s="64" t="s">
        <v>42</v>
      </c>
      <c r="Q22" s="64" t="s">
        <v>42</v>
      </c>
      <c r="R22" s="64" t="str">
        <f t="shared" si="12"/>
        <v>WO</v>
      </c>
      <c r="S22" s="64" t="s">
        <v>42</v>
      </c>
      <c r="T22" s="64" t="s">
        <v>42</v>
      </c>
      <c r="U22" s="64" t="s">
        <v>44</v>
      </c>
      <c r="V22" s="64" t="s">
        <v>42</v>
      </c>
      <c r="W22" s="64" t="s">
        <v>42</v>
      </c>
      <c r="X22" s="64" t="s">
        <v>42</v>
      </c>
      <c r="Y22" s="64" t="str">
        <f t="shared" si="12"/>
        <v>WO</v>
      </c>
      <c r="Z22" s="64" t="s">
        <v>42</v>
      </c>
      <c r="AA22" s="64" t="s">
        <v>42</v>
      </c>
      <c r="AB22" s="64" t="s">
        <v>44</v>
      </c>
      <c r="AC22" s="64" t="s">
        <v>42</v>
      </c>
      <c r="AD22" s="64" t="s">
        <v>42</v>
      </c>
      <c r="AE22" s="64" t="s">
        <v>42</v>
      </c>
      <c r="AF22" s="64" t="str">
        <f t="shared" si="11"/>
        <v>WO</v>
      </c>
      <c r="AG22" s="64" t="s">
        <v>42</v>
      </c>
      <c r="AH22" s="64" t="s">
        <v>43</v>
      </c>
      <c r="AI22" s="64" t="s">
        <v>42</v>
      </c>
      <c r="AJ22" s="64" t="s">
        <v>44</v>
      </c>
      <c r="AK22" s="64" t="s">
        <v>42</v>
      </c>
      <c r="AL22" s="64" t="s">
        <v>42</v>
      </c>
      <c r="AM22" s="64" t="str">
        <f t="shared" si="11"/>
        <v>WO</v>
      </c>
      <c r="AN22" s="73" t="s">
        <v>42</v>
      </c>
      <c r="AO22" s="39"/>
      <c r="AP22" s="28">
        <v>16</v>
      </c>
      <c r="AQ22" s="21">
        <v>1016</v>
      </c>
      <c r="AR22" s="33" t="str">
        <f t="shared" si="4"/>
        <v>March</v>
      </c>
      <c r="AS22" s="21" t="s">
        <v>18</v>
      </c>
      <c r="AT22" s="29">
        <f t="shared" si="5"/>
        <v>22</v>
      </c>
      <c r="AU22" s="29">
        <f t="shared" si="9"/>
        <v>1</v>
      </c>
      <c r="AV22" s="29">
        <f t="shared" si="6"/>
        <v>3</v>
      </c>
      <c r="AW22" s="29">
        <f t="shared" si="7"/>
        <v>5</v>
      </c>
      <c r="AX22" s="30">
        <f t="shared" si="10"/>
        <v>31</v>
      </c>
      <c r="AY22" s="29">
        <f>MARReport[[#This Row],[Days]]-MARReport[[#This Row],[Adsent]]</f>
        <v>30</v>
      </c>
      <c r="AZ22" s="31">
        <v>52000</v>
      </c>
      <c r="BA22" s="32">
        <f>MARReport[[#This Row],[Salary]]/MARReport[[#This Row],[Days]]</f>
        <v>1677.4193548387098</v>
      </c>
      <c r="BB22" s="31">
        <f>MARReport[[#This Row],[Perday salary]]*MARReport[[#This Row],[Adsent]]</f>
        <v>1677.4193548387098</v>
      </c>
      <c r="BC22" s="31">
        <f>MARReport[[#This Row],[Salary]]-MARReport[[#This Row],[Detuction ]]</f>
        <v>50322.580645161288</v>
      </c>
      <c r="BD22" s="29"/>
      <c r="BE22" s="39"/>
      <c r="BF22" s="37"/>
      <c r="BG22" s="37"/>
      <c r="BH22" s="37"/>
      <c r="BI22" s="37"/>
      <c r="BJ22" s="37"/>
      <c r="BK22" s="37"/>
    </row>
    <row r="23" spans="1:63" ht="15.6" x14ac:dyDescent="0.3">
      <c r="D23" s="37"/>
      <c r="E23" s="41"/>
      <c r="F23" s="20">
        <v>17</v>
      </c>
      <c r="G23" s="21">
        <v>1017</v>
      </c>
      <c r="H23" s="22" t="s">
        <v>19</v>
      </c>
      <c r="I23" s="61">
        <f t="shared" si="8"/>
        <v>5</v>
      </c>
      <c r="J23" s="64" t="s">
        <v>42</v>
      </c>
      <c r="K23" s="64" t="str">
        <f t="shared" si="12"/>
        <v>WO</v>
      </c>
      <c r="L23" s="64" t="s">
        <v>42</v>
      </c>
      <c r="M23" s="64" t="s">
        <v>42</v>
      </c>
      <c r="N23" s="64" t="s">
        <v>42</v>
      </c>
      <c r="O23" s="64" t="s">
        <v>42</v>
      </c>
      <c r="P23" s="64" t="s">
        <v>42</v>
      </c>
      <c r="Q23" s="64" t="s">
        <v>42</v>
      </c>
      <c r="R23" s="64" t="str">
        <f t="shared" si="12"/>
        <v>WO</v>
      </c>
      <c r="S23" s="64" t="s">
        <v>42</v>
      </c>
      <c r="T23" s="64" t="s">
        <v>42</v>
      </c>
      <c r="U23" s="64" t="s">
        <v>44</v>
      </c>
      <c r="V23" s="64" t="s">
        <v>42</v>
      </c>
      <c r="W23" s="64" t="s">
        <v>43</v>
      </c>
      <c r="X23" s="64" t="s">
        <v>42</v>
      </c>
      <c r="Y23" s="64" t="str">
        <f t="shared" si="12"/>
        <v>WO</v>
      </c>
      <c r="Z23" s="64" t="s">
        <v>42</v>
      </c>
      <c r="AA23" s="64" t="s">
        <v>42</v>
      </c>
      <c r="AB23" s="64" t="s">
        <v>44</v>
      </c>
      <c r="AC23" s="64" t="s">
        <v>42</v>
      </c>
      <c r="AD23" s="64" t="s">
        <v>42</v>
      </c>
      <c r="AE23" s="64" t="s">
        <v>42</v>
      </c>
      <c r="AF23" s="64" t="str">
        <f t="shared" si="11"/>
        <v>WO</v>
      </c>
      <c r="AG23" s="64" t="s">
        <v>42</v>
      </c>
      <c r="AH23" s="64" t="s">
        <v>42</v>
      </c>
      <c r="AI23" s="64" t="s">
        <v>42</v>
      </c>
      <c r="AJ23" s="64" t="s">
        <v>44</v>
      </c>
      <c r="AK23" s="64" t="s">
        <v>42</v>
      </c>
      <c r="AL23" s="64" t="s">
        <v>42</v>
      </c>
      <c r="AM23" s="64" t="str">
        <f t="shared" si="11"/>
        <v>WO</v>
      </c>
      <c r="AN23" s="73" t="s">
        <v>42</v>
      </c>
      <c r="AO23" s="39"/>
      <c r="AP23" s="28">
        <v>17</v>
      </c>
      <c r="AQ23" s="21">
        <v>1017</v>
      </c>
      <c r="AR23" s="33" t="str">
        <f t="shared" si="4"/>
        <v>March</v>
      </c>
      <c r="AS23" s="21" t="s">
        <v>19</v>
      </c>
      <c r="AT23" s="29">
        <f t="shared" si="5"/>
        <v>22</v>
      </c>
      <c r="AU23" s="29">
        <f t="shared" si="9"/>
        <v>1</v>
      </c>
      <c r="AV23" s="29">
        <f t="shared" si="6"/>
        <v>3</v>
      </c>
      <c r="AW23" s="29">
        <f t="shared" si="7"/>
        <v>5</v>
      </c>
      <c r="AX23" s="30">
        <f t="shared" si="10"/>
        <v>31</v>
      </c>
      <c r="AY23" s="29">
        <f>MARReport[[#This Row],[Days]]-MARReport[[#This Row],[Adsent]]</f>
        <v>30</v>
      </c>
      <c r="AZ23" s="31">
        <v>42000</v>
      </c>
      <c r="BA23" s="32">
        <f>MARReport[[#This Row],[Salary]]/MARReport[[#This Row],[Days]]</f>
        <v>1354.8387096774193</v>
      </c>
      <c r="BB23" s="31">
        <f>MARReport[[#This Row],[Perday salary]]*MARReport[[#This Row],[Adsent]]</f>
        <v>1354.8387096774193</v>
      </c>
      <c r="BC23" s="31">
        <f>MARReport[[#This Row],[Salary]]-MARReport[[#This Row],[Detuction ]]</f>
        <v>40645.161290322583</v>
      </c>
      <c r="BD23" s="29"/>
      <c r="BE23" s="39"/>
      <c r="BF23" s="37"/>
      <c r="BG23" s="37"/>
      <c r="BH23" s="37"/>
      <c r="BI23" s="37"/>
      <c r="BJ23" s="37"/>
      <c r="BK23" s="37"/>
    </row>
    <row r="24" spans="1:63" ht="15.6" x14ac:dyDescent="0.3">
      <c r="D24" s="37"/>
      <c r="E24" s="41"/>
      <c r="F24" s="20">
        <v>18</v>
      </c>
      <c r="G24" s="21">
        <v>1018</v>
      </c>
      <c r="H24" s="22" t="s">
        <v>20</v>
      </c>
      <c r="I24" s="61">
        <f t="shared" si="8"/>
        <v>5</v>
      </c>
      <c r="J24" s="64" t="s">
        <v>42</v>
      </c>
      <c r="K24" s="64" t="str">
        <f t="shared" si="12"/>
        <v>WO</v>
      </c>
      <c r="L24" s="64" t="s">
        <v>42</v>
      </c>
      <c r="M24" s="64" t="s">
        <v>42</v>
      </c>
      <c r="N24" s="64" t="s">
        <v>42</v>
      </c>
      <c r="O24" s="64" t="s">
        <v>42</v>
      </c>
      <c r="P24" s="64" t="s">
        <v>42</v>
      </c>
      <c r="Q24" s="64" t="s">
        <v>42</v>
      </c>
      <c r="R24" s="64" t="str">
        <f t="shared" si="12"/>
        <v>WO</v>
      </c>
      <c r="S24" s="64" t="s">
        <v>42</v>
      </c>
      <c r="T24" s="64" t="s">
        <v>42</v>
      </c>
      <c r="U24" s="64" t="s">
        <v>44</v>
      </c>
      <c r="V24" s="64" t="s">
        <v>42</v>
      </c>
      <c r="W24" s="64" t="s">
        <v>42</v>
      </c>
      <c r="X24" s="64" t="s">
        <v>42</v>
      </c>
      <c r="Y24" s="64" t="str">
        <f t="shared" si="12"/>
        <v>WO</v>
      </c>
      <c r="Z24" s="64" t="s">
        <v>42</v>
      </c>
      <c r="AA24" s="64" t="s">
        <v>42</v>
      </c>
      <c r="AB24" s="64" t="s">
        <v>44</v>
      </c>
      <c r="AC24" s="64" t="s">
        <v>42</v>
      </c>
      <c r="AD24" s="64" t="s">
        <v>42</v>
      </c>
      <c r="AE24" s="64" t="s">
        <v>42</v>
      </c>
      <c r="AF24" s="64" t="str">
        <f t="shared" si="11"/>
        <v>WO</v>
      </c>
      <c r="AG24" s="64" t="s">
        <v>42</v>
      </c>
      <c r="AH24" s="64" t="s">
        <v>42</v>
      </c>
      <c r="AI24" s="64" t="s">
        <v>42</v>
      </c>
      <c r="AJ24" s="64" t="s">
        <v>44</v>
      </c>
      <c r="AK24" s="64" t="s">
        <v>42</v>
      </c>
      <c r="AL24" s="64" t="s">
        <v>42</v>
      </c>
      <c r="AM24" s="64" t="str">
        <f t="shared" si="11"/>
        <v>WO</v>
      </c>
      <c r="AN24" s="73" t="s">
        <v>42</v>
      </c>
      <c r="AO24" s="39"/>
      <c r="AP24" s="28">
        <v>18</v>
      </c>
      <c r="AQ24" s="21">
        <v>1018</v>
      </c>
      <c r="AR24" s="33" t="str">
        <f t="shared" si="4"/>
        <v>March</v>
      </c>
      <c r="AS24" s="21" t="s">
        <v>20</v>
      </c>
      <c r="AT24" s="29">
        <f t="shared" si="5"/>
        <v>23</v>
      </c>
      <c r="AU24" s="29">
        <f t="shared" si="9"/>
        <v>0</v>
      </c>
      <c r="AV24" s="29">
        <f t="shared" si="6"/>
        <v>3</v>
      </c>
      <c r="AW24" s="29">
        <f t="shared" si="7"/>
        <v>5</v>
      </c>
      <c r="AX24" s="30">
        <f t="shared" si="10"/>
        <v>31</v>
      </c>
      <c r="AY24" s="29">
        <f>MARReport[[#This Row],[Days]]-MARReport[[#This Row],[Adsent]]</f>
        <v>31</v>
      </c>
      <c r="AZ24" s="31">
        <v>62000</v>
      </c>
      <c r="BA24" s="32">
        <f>MARReport[[#This Row],[Salary]]/MARReport[[#This Row],[Days]]</f>
        <v>2000</v>
      </c>
      <c r="BB24" s="31">
        <f>MARReport[[#This Row],[Perday salary]]*MARReport[[#This Row],[Adsent]]</f>
        <v>0</v>
      </c>
      <c r="BC24" s="31">
        <f>MARReport[[#This Row],[Salary]]-MARReport[[#This Row],[Detuction ]]</f>
        <v>62000</v>
      </c>
      <c r="BD24" s="29"/>
      <c r="BE24" s="39"/>
      <c r="BF24" s="37"/>
      <c r="BG24" s="37"/>
      <c r="BH24" s="37"/>
      <c r="BI24" s="37"/>
      <c r="BJ24" s="37"/>
      <c r="BK24" s="37"/>
    </row>
    <row r="25" spans="1:63" ht="15.6" x14ac:dyDescent="0.3">
      <c r="D25" s="37"/>
      <c r="E25" s="41"/>
      <c r="F25" s="20">
        <v>19</v>
      </c>
      <c r="G25" s="21">
        <v>1019</v>
      </c>
      <c r="H25" s="22" t="s">
        <v>21</v>
      </c>
      <c r="I25" s="61">
        <f t="shared" si="8"/>
        <v>5</v>
      </c>
      <c r="J25" s="64" t="s">
        <v>42</v>
      </c>
      <c r="K25" s="64" t="str">
        <f t="shared" si="12"/>
        <v>WO</v>
      </c>
      <c r="L25" s="64" t="s">
        <v>42</v>
      </c>
      <c r="M25" s="64" t="s">
        <v>42</v>
      </c>
      <c r="N25" s="64" t="s">
        <v>42</v>
      </c>
      <c r="O25" s="64" t="s">
        <v>42</v>
      </c>
      <c r="P25" s="64" t="s">
        <v>42</v>
      </c>
      <c r="Q25" s="64" t="s">
        <v>42</v>
      </c>
      <c r="R25" s="64" t="str">
        <f t="shared" si="12"/>
        <v>WO</v>
      </c>
      <c r="S25" s="64" t="s">
        <v>42</v>
      </c>
      <c r="T25" s="64" t="s">
        <v>42</v>
      </c>
      <c r="U25" s="64" t="s">
        <v>44</v>
      </c>
      <c r="V25" s="64" t="s">
        <v>42</v>
      </c>
      <c r="W25" s="64" t="s">
        <v>42</v>
      </c>
      <c r="X25" s="64" t="s">
        <v>42</v>
      </c>
      <c r="Y25" s="64" t="str">
        <f t="shared" si="12"/>
        <v>WO</v>
      </c>
      <c r="Z25" s="64" t="s">
        <v>42</v>
      </c>
      <c r="AA25" s="64" t="s">
        <v>42</v>
      </c>
      <c r="AB25" s="64" t="s">
        <v>44</v>
      </c>
      <c r="AC25" s="64" t="s">
        <v>42</v>
      </c>
      <c r="AD25" s="64" t="s">
        <v>42</v>
      </c>
      <c r="AE25" s="64" t="s">
        <v>42</v>
      </c>
      <c r="AF25" s="64" t="str">
        <f t="shared" si="11"/>
        <v>WO</v>
      </c>
      <c r="AG25" s="64" t="s">
        <v>42</v>
      </c>
      <c r="AH25" s="64" t="s">
        <v>42</v>
      </c>
      <c r="AI25" s="64" t="s">
        <v>42</v>
      </c>
      <c r="AJ25" s="64" t="s">
        <v>44</v>
      </c>
      <c r="AK25" s="64" t="s">
        <v>42</v>
      </c>
      <c r="AL25" s="64" t="s">
        <v>42</v>
      </c>
      <c r="AM25" s="64" t="str">
        <f t="shared" si="11"/>
        <v>WO</v>
      </c>
      <c r="AN25" s="73" t="s">
        <v>42</v>
      </c>
      <c r="AO25" s="39"/>
      <c r="AP25" s="28">
        <v>19</v>
      </c>
      <c r="AQ25" s="21">
        <v>1019</v>
      </c>
      <c r="AR25" s="33" t="str">
        <f t="shared" si="4"/>
        <v>March</v>
      </c>
      <c r="AS25" s="21" t="s">
        <v>21</v>
      </c>
      <c r="AT25" s="29">
        <f t="shared" si="5"/>
        <v>23</v>
      </c>
      <c r="AU25" s="29">
        <f t="shared" si="9"/>
        <v>0</v>
      </c>
      <c r="AV25" s="29">
        <f t="shared" si="6"/>
        <v>3</v>
      </c>
      <c r="AW25" s="29">
        <f t="shared" si="7"/>
        <v>5</v>
      </c>
      <c r="AX25" s="30">
        <f t="shared" si="10"/>
        <v>31</v>
      </c>
      <c r="AY25" s="29">
        <f>MARReport[[#This Row],[Days]]-MARReport[[#This Row],[Adsent]]</f>
        <v>31</v>
      </c>
      <c r="AZ25" s="31">
        <v>41000</v>
      </c>
      <c r="BA25" s="32">
        <f>MARReport[[#This Row],[Salary]]/MARReport[[#This Row],[Days]]</f>
        <v>1322.5806451612902</v>
      </c>
      <c r="BB25" s="31">
        <f>MARReport[[#This Row],[Perday salary]]*MARReport[[#This Row],[Adsent]]</f>
        <v>0</v>
      </c>
      <c r="BC25" s="31">
        <f>MARReport[[#This Row],[Salary]]-MARReport[[#This Row],[Detuction ]]</f>
        <v>41000</v>
      </c>
      <c r="BD25" s="29"/>
      <c r="BE25" s="39"/>
      <c r="BF25" s="37"/>
      <c r="BG25" s="37"/>
      <c r="BH25" s="37"/>
      <c r="BI25" s="37"/>
      <c r="BJ25" s="37"/>
      <c r="BK25" s="37"/>
    </row>
    <row r="26" spans="1:63" ht="16.2" thickBot="1" x14ac:dyDescent="0.35">
      <c r="D26" s="37"/>
      <c r="E26" s="41"/>
      <c r="F26" s="24">
        <v>20</v>
      </c>
      <c r="G26" s="25">
        <v>1020</v>
      </c>
      <c r="H26" s="26" t="s">
        <v>22</v>
      </c>
      <c r="I26" s="62">
        <f t="shared" si="8"/>
        <v>5</v>
      </c>
      <c r="J26" s="65" t="s">
        <v>42</v>
      </c>
      <c r="K26" s="65" t="str">
        <f t="shared" si="12"/>
        <v>WO</v>
      </c>
      <c r="L26" s="65" t="s">
        <v>42</v>
      </c>
      <c r="M26" s="65" t="s">
        <v>42</v>
      </c>
      <c r="N26" s="65" t="s">
        <v>42</v>
      </c>
      <c r="O26" s="65" t="s">
        <v>42</v>
      </c>
      <c r="P26" s="65" t="s">
        <v>42</v>
      </c>
      <c r="Q26" s="65" t="s">
        <v>42</v>
      </c>
      <c r="R26" s="65" t="str">
        <f t="shared" si="12"/>
        <v>WO</v>
      </c>
      <c r="S26" s="65" t="s">
        <v>42</v>
      </c>
      <c r="T26" s="65" t="s">
        <v>42</v>
      </c>
      <c r="U26" s="65" t="s">
        <v>44</v>
      </c>
      <c r="V26" s="65" t="s">
        <v>42</v>
      </c>
      <c r="W26" s="65" t="s">
        <v>42</v>
      </c>
      <c r="X26" s="65" t="s">
        <v>42</v>
      </c>
      <c r="Y26" s="65" t="str">
        <f t="shared" si="12"/>
        <v>WO</v>
      </c>
      <c r="Z26" s="65" t="s">
        <v>42</v>
      </c>
      <c r="AA26" s="65" t="s">
        <v>42</v>
      </c>
      <c r="AB26" s="65" t="s">
        <v>44</v>
      </c>
      <c r="AC26" s="65" t="s">
        <v>42</v>
      </c>
      <c r="AD26" s="65" t="s">
        <v>42</v>
      </c>
      <c r="AE26" s="65" t="s">
        <v>42</v>
      </c>
      <c r="AF26" s="65" t="str">
        <f t="shared" si="11"/>
        <v>WO</v>
      </c>
      <c r="AG26" s="65" t="s">
        <v>42</v>
      </c>
      <c r="AH26" s="65" t="s">
        <v>42</v>
      </c>
      <c r="AI26" s="65" t="s">
        <v>42</v>
      </c>
      <c r="AJ26" s="65" t="s">
        <v>44</v>
      </c>
      <c r="AK26" s="65" t="s">
        <v>42</v>
      </c>
      <c r="AL26" s="65" t="s">
        <v>42</v>
      </c>
      <c r="AM26" s="65" t="str">
        <f t="shared" si="11"/>
        <v>WO</v>
      </c>
      <c r="AN26" s="74" t="s">
        <v>42</v>
      </c>
      <c r="AO26" s="39"/>
      <c r="AP26" s="28">
        <v>20</v>
      </c>
      <c r="AQ26" s="21">
        <v>1020</v>
      </c>
      <c r="AR26" s="33" t="str">
        <f t="shared" si="4"/>
        <v>March</v>
      </c>
      <c r="AS26" s="21" t="s">
        <v>22</v>
      </c>
      <c r="AT26" s="29">
        <f t="shared" si="5"/>
        <v>23</v>
      </c>
      <c r="AU26" s="29">
        <f t="shared" si="9"/>
        <v>0</v>
      </c>
      <c r="AV26" s="29">
        <f t="shared" si="6"/>
        <v>3</v>
      </c>
      <c r="AW26" s="29">
        <f t="shared" si="7"/>
        <v>5</v>
      </c>
      <c r="AX26" s="30">
        <f t="shared" si="10"/>
        <v>31</v>
      </c>
      <c r="AY26" s="29">
        <f>MARReport[[#This Row],[Days]]-MARReport[[#This Row],[Adsent]]</f>
        <v>31</v>
      </c>
      <c r="AZ26" s="31">
        <v>30000</v>
      </c>
      <c r="BA26" s="32">
        <f>MARReport[[#This Row],[Salary]]/MARReport[[#This Row],[Days]]</f>
        <v>967.74193548387098</v>
      </c>
      <c r="BB26" s="31">
        <f>MARReport[[#This Row],[Perday salary]]*MARReport[[#This Row],[Adsent]]</f>
        <v>0</v>
      </c>
      <c r="BC26" s="31">
        <f>MARReport[[#This Row],[Salary]]-MARReport[[#This Row],[Detuction ]]</f>
        <v>30000</v>
      </c>
      <c r="BD26" s="29"/>
      <c r="BE26" s="39"/>
      <c r="BF26" s="37"/>
      <c r="BG26" s="37"/>
      <c r="BH26" s="37"/>
      <c r="BI26" s="37"/>
      <c r="BJ26" s="37"/>
      <c r="BK26" s="37"/>
    </row>
    <row r="27" spans="1:63" x14ac:dyDescent="0.3">
      <c r="D27" s="37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  <c r="AA27" s="41"/>
      <c r="AB27" s="41"/>
      <c r="AC27" s="41"/>
      <c r="AD27" s="41"/>
      <c r="AE27" s="41"/>
      <c r="AF27" s="41"/>
      <c r="AG27" s="41"/>
      <c r="AH27" s="41"/>
      <c r="AI27" s="41"/>
      <c r="AJ27" s="41"/>
      <c r="AK27" s="41"/>
      <c r="AL27" s="41"/>
      <c r="AM27" s="41"/>
      <c r="AN27" s="41"/>
      <c r="AO27" s="39"/>
      <c r="AP27" s="39"/>
      <c r="AQ27" s="39"/>
      <c r="AR27" s="39"/>
      <c r="AS27" s="39"/>
      <c r="AT27" s="39"/>
      <c r="AU27" s="39"/>
      <c r="AV27" s="39"/>
      <c r="AW27" s="39"/>
      <c r="AX27" s="39"/>
      <c r="AY27" s="39"/>
      <c r="AZ27" s="39"/>
      <c r="BA27" s="39"/>
      <c r="BB27" s="39"/>
      <c r="BC27" s="39"/>
      <c r="BD27" s="39"/>
      <c r="BE27" s="39"/>
      <c r="BF27" s="37"/>
      <c r="BG27" s="37"/>
      <c r="BH27" s="37"/>
      <c r="BI27" s="37"/>
      <c r="BJ27" s="37"/>
      <c r="BK27" s="37"/>
    </row>
    <row r="28" spans="1:63" x14ac:dyDescent="0.3"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  <c r="AA28" s="37"/>
      <c r="AB28" s="37"/>
      <c r="AC28" s="37"/>
      <c r="AD28" s="37"/>
      <c r="AE28" s="37"/>
      <c r="AF28" s="37"/>
      <c r="AG28" s="37"/>
      <c r="AH28" s="37"/>
      <c r="AI28" s="37"/>
      <c r="AJ28" s="37"/>
      <c r="AK28" s="37"/>
      <c r="AL28" s="37"/>
      <c r="AM28" s="37"/>
      <c r="AN28" s="37"/>
      <c r="AO28" s="37"/>
      <c r="AP28" s="37"/>
      <c r="AQ28" s="37"/>
      <c r="AR28" s="37"/>
      <c r="AS28" s="37"/>
      <c r="AT28" s="37"/>
      <c r="AU28" s="37"/>
      <c r="AV28" s="37"/>
      <c r="AW28" s="37"/>
      <c r="AX28" s="37"/>
      <c r="AY28" s="37"/>
      <c r="AZ28" s="37"/>
      <c r="BA28" s="37"/>
      <c r="BB28" s="37"/>
      <c r="BC28" s="37"/>
      <c r="BD28" s="37"/>
      <c r="BE28" s="37"/>
      <c r="BF28" s="37"/>
      <c r="BG28" s="37"/>
      <c r="BH28" s="37"/>
      <c r="BI28" s="37"/>
      <c r="BJ28" s="37"/>
      <c r="BK28" s="37"/>
    </row>
    <row r="29" spans="1:63" x14ac:dyDescent="0.3"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  <c r="AA29" s="37"/>
      <c r="AB29" s="37"/>
      <c r="AC29" s="37"/>
      <c r="AD29" s="37"/>
      <c r="AE29" s="37"/>
      <c r="AF29" s="37"/>
      <c r="AG29" s="37"/>
      <c r="AH29" s="37"/>
      <c r="AI29" s="37"/>
      <c r="AJ29" s="37"/>
      <c r="AK29" s="37"/>
      <c r="AL29" s="37"/>
      <c r="AM29" s="37"/>
      <c r="AN29" s="37"/>
      <c r="AO29" s="37"/>
      <c r="AP29" s="37"/>
      <c r="AQ29" s="37"/>
      <c r="AR29" s="37"/>
      <c r="AS29" s="37"/>
      <c r="AT29" s="37"/>
      <c r="AU29" s="37"/>
      <c r="AV29" s="37"/>
      <c r="AW29" s="37"/>
      <c r="AX29" s="37"/>
      <c r="AY29" s="37"/>
      <c r="AZ29" s="37"/>
      <c r="BA29" s="37"/>
      <c r="BB29" s="37"/>
      <c r="BC29" s="37"/>
      <c r="BD29" s="37"/>
      <c r="BE29" s="37"/>
      <c r="BF29" s="37"/>
      <c r="BG29" s="37"/>
      <c r="BH29" s="37"/>
      <c r="BI29" s="37"/>
      <c r="BJ29" s="37"/>
      <c r="BK29" s="37"/>
    </row>
    <row r="30" spans="1:63" x14ac:dyDescent="0.3">
      <c r="A30" s="37"/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  <c r="AA30" s="37"/>
      <c r="AB30" s="37"/>
      <c r="AC30" s="37"/>
      <c r="AD30" s="37"/>
      <c r="AE30" s="37"/>
      <c r="AF30" s="37"/>
      <c r="AG30" s="37"/>
      <c r="AH30" s="37"/>
      <c r="AI30" s="37"/>
      <c r="AJ30" s="37"/>
      <c r="AK30" s="37"/>
      <c r="AL30" s="37"/>
      <c r="AM30" s="37"/>
      <c r="AN30" s="37"/>
      <c r="AO30" s="37"/>
      <c r="AP30" s="37"/>
      <c r="AQ30" s="37"/>
      <c r="AR30" s="37"/>
      <c r="AS30" s="37"/>
      <c r="AT30" s="37"/>
      <c r="AU30" s="37"/>
      <c r="AV30" s="37"/>
      <c r="AW30" s="37"/>
      <c r="AX30" s="37"/>
      <c r="AY30" s="37"/>
      <c r="AZ30" s="37"/>
      <c r="BA30" s="37"/>
      <c r="BB30" s="37"/>
      <c r="BC30" s="37"/>
      <c r="BD30" s="37"/>
      <c r="BE30" s="37"/>
      <c r="BF30" s="37"/>
      <c r="BG30" s="37"/>
      <c r="BH30" s="37"/>
      <c r="BI30" s="37"/>
      <c r="BJ30" s="37"/>
      <c r="BK30" s="37"/>
    </row>
    <row r="31" spans="1:63" x14ac:dyDescent="0.3">
      <c r="A31" s="37"/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  <c r="AA31" s="37"/>
      <c r="AB31" s="37"/>
      <c r="AC31" s="37"/>
      <c r="AD31" s="37"/>
      <c r="AE31" s="37"/>
      <c r="AF31" s="37"/>
      <c r="AG31" s="37"/>
      <c r="AH31" s="37"/>
      <c r="AI31" s="37"/>
      <c r="AJ31" s="37"/>
      <c r="AK31" s="37"/>
      <c r="AL31" s="37"/>
      <c r="AM31" s="37"/>
      <c r="AN31" s="37"/>
      <c r="AO31" s="37"/>
      <c r="AP31" s="37"/>
      <c r="AQ31" s="37"/>
      <c r="AR31" s="37"/>
      <c r="AS31" s="37"/>
      <c r="AT31" s="37"/>
      <c r="AU31" s="37"/>
      <c r="AV31" s="37"/>
      <c r="AW31" s="37"/>
      <c r="AX31" s="37"/>
      <c r="AY31" s="37"/>
      <c r="AZ31" s="37"/>
      <c r="BA31" s="37"/>
      <c r="BB31" s="37"/>
      <c r="BC31" s="37"/>
      <c r="BD31" s="37"/>
      <c r="BE31" s="37"/>
      <c r="BF31" s="37"/>
      <c r="BG31" s="37"/>
      <c r="BH31" s="37"/>
      <c r="BI31" s="37"/>
      <c r="BJ31" s="37"/>
      <c r="BK31" s="37"/>
    </row>
    <row r="32" spans="1:63" x14ac:dyDescent="0.3">
      <c r="A32" s="37"/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  <c r="AA32" s="37"/>
      <c r="AB32" s="37"/>
      <c r="AC32" s="37"/>
      <c r="AD32" s="37"/>
      <c r="AE32" s="37"/>
      <c r="AF32" s="37"/>
      <c r="AG32" s="37"/>
      <c r="AH32" s="37"/>
      <c r="AI32" s="37"/>
      <c r="AJ32" s="37"/>
      <c r="AK32" s="37"/>
      <c r="AL32" s="37"/>
      <c r="AM32" s="37"/>
      <c r="AN32" s="37"/>
      <c r="AO32" s="37"/>
      <c r="AP32" s="37"/>
      <c r="AQ32" s="37"/>
      <c r="AR32" s="37"/>
      <c r="AS32" s="37"/>
      <c r="AT32" s="37"/>
      <c r="AU32" s="37"/>
      <c r="AV32" s="37"/>
      <c r="AW32" s="37"/>
      <c r="AX32" s="37"/>
      <c r="AY32" s="37"/>
      <c r="AZ32" s="37"/>
      <c r="BA32" s="37"/>
      <c r="BB32" s="37"/>
      <c r="BC32" s="37"/>
      <c r="BD32" s="37"/>
      <c r="BE32" s="37"/>
      <c r="BF32" s="37"/>
      <c r="BG32" s="37"/>
      <c r="BH32" s="37"/>
      <c r="BI32" s="37"/>
      <c r="BJ32" s="37"/>
      <c r="BK32" s="37"/>
    </row>
    <row r="33" spans="1:63" x14ac:dyDescent="0.3">
      <c r="A33" s="37"/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  <c r="AA33" s="37"/>
      <c r="AB33" s="37"/>
      <c r="AC33" s="37"/>
      <c r="AD33" s="37"/>
      <c r="AE33" s="37"/>
      <c r="AF33" s="37"/>
      <c r="AG33" s="37"/>
      <c r="AH33" s="37"/>
      <c r="AI33" s="37"/>
      <c r="AJ33" s="37"/>
      <c r="AK33" s="37"/>
      <c r="AL33" s="37"/>
      <c r="AM33" s="37"/>
      <c r="AN33" s="37"/>
      <c r="AO33" s="37"/>
      <c r="AP33" s="37"/>
      <c r="AQ33" s="37"/>
      <c r="AR33" s="37"/>
      <c r="AS33" s="37"/>
      <c r="AT33" s="37"/>
      <c r="AU33" s="37"/>
      <c r="AV33" s="37"/>
      <c r="AW33" s="37"/>
      <c r="AX33" s="37"/>
      <c r="AY33" s="37"/>
      <c r="AZ33" s="37"/>
      <c r="BA33" s="37"/>
      <c r="BB33" s="37"/>
      <c r="BC33" s="37"/>
      <c r="BD33" s="37"/>
      <c r="BE33" s="37"/>
      <c r="BF33" s="37"/>
      <c r="BG33" s="37"/>
      <c r="BH33" s="37"/>
      <c r="BI33" s="37"/>
      <c r="BJ33" s="37"/>
      <c r="BK33" s="37"/>
    </row>
    <row r="34" spans="1:63" x14ac:dyDescent="0.3">
      <c r="A34" s="37"/>
      <c r="B34" s="37"/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  <c r="AA34" s="37"/>
      <c r="AB34" s="37"/>
      <c r="AC34" s="37"/>
      <c r="AD34" s="37"/>
      <c r="AE34" s="37"/>
      <c r="AF34" s="37"/>
      <c r="AG34" s="37"/>
      <c r="AH34" s="37"/>
      <c r="AI34" s="37"/>
      <c r="AJ34" s="37"/>
      <c r="AK34" s="37"/>
      <c r="AL34" s="37"/>
      <c r="AM34" s="37"/>
      <c r="AN34" s="37"/>
      <c r="AO34" s="37"/>
      <c r="AP34" s="37"/>
      <c r="AQ34" s="37"/>
      <c r="AR34" s="37"/>
      <c r="AS34" s="37"/>
      <c r="AT34" s="37"/>
      <c r="AU34" s="37"/>
      <c r="AV34" s="37"/>
      <c r="AW34" s="37"/>
      <c r="AX34" s="37"/>
      <c r="AY34" s="37"/>
      <c r="AZ34" s="37"/>
      <c r="BA34" s="37"/>
      <c r="BB34" s="37"/>
      <c r="BC34" s="37"/>
      <c r="BD34" s="37"/>
      <c r="BE34" s="37"/>
      <c r="BF34" s="37"/>
      <c r="BG34" s="37"/>
      <c r="BH34" s="37"/>
      <c r="BI34" s="37"/>
      <c r="BJ34" s="37"/>
      <c r="BK34" s="37"/>
    </row>
    <row r="35" spans="1:63" x14ac:dyDescent="0.3">
      <c r="A35" s="37"/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  <c r="AA35" s="37"/>
      <c r="AB35" s="37"/>
      <c r="AC35" s="37"/>
      <c r="AD35" s="37"/>
      <c r="AE35" s="37"/>
      <c r="AF35" s="37"/>
      <c r="AG35" s="37"/>
      <c r="AH35" s="37"/>
      <c r="AI35" s="37"/>
      <c r="AJ35" s="37"/>
      <c r="AK35" s="37"/>
      <c r="AL35" s="37"/>
      <c r="AM35" s="37"/>
      <c r="AN35" s="37"/>
      <c r="AO35" s="37"/>
      <c r="AP35" s="37"/>
      <c r="AQ35" s="37"/>
      <c r="AR35" s="37"/>
      <c r="AS35" s="37"/>
      <c r="AT35" s="37"/>
      <c r="AU35" s="37"/>
      <c r="AV35" s="37"/>
      <c r="AW35" s="37"/>
      <c r="AX35" s="37"/>
      <c r="AY35" s="37"/>
      <c r="AZ35" s="37"/>
      <c r="BA35" s="37"/>
      <c r="BB35" s="37"/>
      <c r="BC35" s="37"/>
      <c r="BD35" s="37"/>
      <c r="BE35" s="37"/>
      <c r="BF35" s="37"/>
      <c r="BG35" s="37"/>
      <c r="BH35" s="37"/>
      <c r="BI35" s="37"/>
      <c r="BJ35" s="37"/>
      <c r="BK35" s="37"/>
    </row>
    <row r="36" spans="1:63" x14ac:dyDescent="0.3">
      <c r="A36" s="37"/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  <c r="AA36" s="37"/>
      <c r="AB36" s="37"/>
      <c r="AC36" s="37"/>
      <c r="AD36" s="37"/>
      <c r="AE36" s="37"/>
      <c r="AF36" s="37"/>
      <c r="AG36" s="37"/>
      <c r="AH36" s="37"/>
      <c r="AI36" s="37"/>
      <c r="AJ36" s="37"/>
      <c r="AK36" s="37"/>
      <c r="AL36" s="37"/>
      <c r="AM36" s="37"/>
      <c r="AN36" s="37"/>
      <c r="AO36" s="37"/>
      <c r="AP36" s="37"/>
      <c r="AQ36" s="37"/>
      <c r="AR36" s="37"/>
      <c r="AS36" s="37"/>
      <c r="AT36" s="37"/>
      <c r="AU36" s="37"/>
      <c r="AV36" s="37"/>
      <c r="AW36" s="37"/>
      <c r="AX36" s="37"/>
      <c r="AY36" s="37"/>
      <c r="AZ36" s="37"/>
      <c r="BA36" s="37"/>
      <c r="BB36" s="37"/>
      <c r="BC36" s="37"/>
      <c r="BD36" s="37"/>
      <c r="BE36" s="37"/>
      <c r="BF36" s="37"/>
      <c r="BG36" s="37"/>
      <c r="BH36" s="37"/>
      <c r="BI36" s="37"/>
      <c r="BJ36" s="37"/>
      <c r="BK36" s="37"/>
    </row>
    <row r="37" spans="1:63" x14ac:dyDescent="0.3">
      <c r="A37" s="37"/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37"/>
      <c r="AB37" s="37"/>
      <c r="AC37" s="37"/>
      <c r="AD37" s="37"/>
      <c r="AE37" s="37"/>
      <c r="AF37" s="37"/>
      <c r="AG37" s="37"/>
      <c r="AH37" s="37"/>
      <c r="AI37" s="37"/>
      <c r="AJ37" s="37"/>
      <c r="AK37" s="37"/>
      <c r="AL37" s="37"/>
      <c r="AM37" s="37"/>
      <c r="AN37" s="37"/>
      <c r="AO37" s="37"/>
      <c r="AP37" s="37"/>
      <c r="AQ37" s="37"/>
      <c r="AR37" s="37"/>
      <c r="AS37" s="37"/>
      <c r="AT37" s="37"/>
      <c r="AU37" s="37"/>
      <c r="AV37" s="37"/>
      <c r="AW37" s="37"/>
      <c r="AX37" s="37"/>
      <c r="AY37" s="37"/>
      <c r="AZ37" s="37"/>
      <c r="BA37" s="37"/>
      <c r="BB37" s="37"/>
      <c r="BC37" s="37"/>
      <c r="BD37" s="37"/>
      <c r="BE37" s="37"/>
      <c r="BF37" s="37"/>
      <c r="BG37" s="37"/>
      <c r="BH37" s="37"/>
      <c r="BI37" s="37"/>
      <c r="BJ37" s="37"/>
      <c r="BK37" s="37"/>
    </row>
    <row r="38" spans="1:63" x14ac:dyDescent="0.3">
      <c r="A38" s="37"/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  <c r="AA38" s="37"/>
      <c r="AB38" s="37"/>
      <c r="AC38" s="37"/>
      <c r="AD38" s="37"/>
      <c r="AE38" s="37"/>
      <c r="AF38" s="37"/>
      <c r="AG38" s="37"/>
      <c r="AH38" s="37"/>
      <c r="AI38" s="37"/>
      <c r="AJ38" s="37"/>
      <c r="AK38" s="37"/>
      <c r="AL38" s="37"/>
      <c r="AM38" s="37"/>
      <c r="AN38" s="37"/>
      <c r="AO38" s="37"/>
      <c r="AP38" s="37"/>
      <c r="AQ38" s="37"/>
      <c r="AR38" s="37"/>
      <c r="AS38" s="37"/>
      <c r="AT38" s="37"/>
      <c r="AU38" s="37"/>
      <c r="AV38" s="37"/>
      <c r="AW38" s="37"/>
      <c r="AX38" s="37"/>
      <c r="AY38" s="37"/>
      <c r="AZ38" s="37"/>
      <c r="BA38" s="37"/>
      <c r="BB38" s="37"/>
      <c r="BC38" s="37"/>
      <c r="BD38" s="37"/>
      <c r="BE38" s="37"/>
      <c r="BF38" s="37"/>
      <c r="BG38" s="37"/>
      <c r="BH38" s="37"/>
      <c r="BI38" s="37"/>
      <c r="BJ38" s="37"/>
      <c r="BK38" s="37"/>
    </row>
    <row r="39" spans="1:63" x14ac:dyDescent="0.3">
      <c r="A39" s="37"/>
      <c r="B39" s="37"/>
      <c r="C39" s="37"/>
      <c r="D39" s="37"/>
      <c r="E39" s="37"/>
      <c r="F39" s="37"/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  <c r="AA39" s="37"/>
      <c r="AB39" s="37"/>
      <c r="AC39" s="37"/>
      <c r="AD39" s="37"/>
      <c r="AE39" s="37"/>
      <c r="AF39" s="37"/>
      <c r="AG39" s="37"/>
      <c r="AH39" s="37"/>
      <c r="AI39" s="37"/>
      <c r="AJ39" s="37"/>
      <c r="AK39" s="37"/>
      <c r="AL39" s="37"/>
      <c r="AM39" s="37"/>
      <c r="AN39" s="37"/>
      <c r="AO39" s="37"/>
      <c r="AP39" s="37"/>
      <c r="AQ39" s="37"/>
      <c r="AR39" s="37"/>
      <c r="AS39" s="37"/>
      <c r="AT39" s="37"/>
      <c r="AU39" s="37"/>
      <c r="AV39" s="37"/>
      <c r="AW39" s="37"/>
      <c r="AX39" s="37"/>
      <c r="AY39" s="37"/>
      <c r="AZ39" s="37"/>
      <c r="BA39" s="37"/>
      <c r="BB39" s="37"/>
      <c r="BC39" s="37"/>
      <c r="BD39" s="37"/>
      <c r="BE39" s="37"/>
      <c r="BF39" s="37"/>
      <c r="BG39" s="37"/>
      <c r="BH39" s="37"/>
      <c r="BI39" s="37"/>
      <c r="BJ39" s="37"/>
      <c r="BK39" s="37"/>
    </row>
    <row r="40" spans="1:63" x14ac:dyDescent="0.3">
      <c r="A40" s="37"/>
      <c r="B40" s="37"/>
      <c r="C40" s="37"/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  <c r="AA40" s="37"/>
      <c r="AB40" s="37"/>
      <c r="AC40" s="37"/>
      <c r="AD40" s="37"/>
      <c r="AE40" s="37"/>
      <c r="AF40" s="37"/>
      <c r="AG40" s="37"/>
      <c r="AH40" s="37"/>
      <c r="AI40" s="37"/>
      <c r="AJ40" s="37"/>
      <c r="AK40" s="37"/>
      <c r="AL40" s="37"/>
      <c r="AM40" s="37"/>
      <c r="AN40" s="37"/>
      <c r="AO40" s="37"/>
      <c r="AP40" s="37"/>
      <c r="AQ40" s="37"/>
      <c r="AR40" s="37"/>
      <c r="AS40" s="37"/>
      <c r="AT40" s="37"/>
      <c r="AU40" s="37"/>
      <c r="AV40" s="37"/>
      <c r="AW40" s="37"/>
      <c r="AX40" s="37"/>
      <c r="AY40" s="37"/>
      <c r="AZ40" s="37"/>
      <c r="BA40" s="37"/>
      <c r="BB40" s="37"/>
      <c r="BC40" s="37"/>
      <c r="BD40" s="37"/>
      <c r="BE40" s="37"/>
      <c r="BF40" s="37"/>
      <c r="BG40" s="37"/>
      <c r="BH40" s="37"/>
      <c r="BI40" s="37"/>
      <c r="BJ40" s="37"/>
      <c r="BK40" s="37"/>
    </row>
    <row r="41" spans="1:63" x14ac:dyDescent="0.3">
      <c r="A41" s="37"/>
      <c r="B41" s="37"/>
      <c r="C41" s="37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  <c r="AA41" s="37"/>
      <c r="AB41" s="37"/>
      <c r="AC41" s="37"/>
      <c r="AD41" s="37"/>
      <c r="AE41" s="37"/>
      <c r="AF41" s="37"/>
      <c r="AG41" s="37"/>
      <c r="AH41" s="37"/>
      <c r="AI41" s="37"/>
      <c r="AJ41" s="37"/>
      <c r="AK41" s="37"/>
      <c r="AL41" s="37"/>
      <c r="AM41" s="37"/>
      <c r="AN41" s="37"/>
      <c r="AO41" s="37"/>
      <c r="AP41" s="37"/>
      <c r="AQ41" s="37"/>
      <c r="AR41" s="37"/>
      <c r="AS41" s="37"/>
      <c r="AT41" s="37"/>
      <c r="AU41" s="37"/>
      <c r="AV41" s="37"/>
      <c r="AW41" s="37"/>
      <c r="AX41" s="37"/>
      <c r="AY41" s="37"/>
      <c r="AZ41" s="37"/>
      <c r="BA41" s="37"/>
      <c r="BB41" s="37"/>
      <c r="BC41" s="37"/>
      <c r="BD41" s="37"/>
      <c r="BE41" s="37"/>
      <c r="BF41" s="37"/>
      <c r="BG41" s="37"/>
      <c r="BH41" s="37"/>
      <c r="BI41" s="37"/>
      <c r="BJ41" s="37"/>
      <c r="BK41" s="37"/>
    </row>
    <row r="42" spans="1:63" x14ac:dyDescent="0.3">
      <c r="A42" s="37"/>
      <c r="B42" s="37"/>
      <c r="C42" s="37"/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  <c r="AA42" s="37"/>
      <c r="AB42" s="37"/>
      <c r="AC42" s="37"/>
      <c r="AD42" s="37"/>
      <c r="AE42" s="37"/>
      <c r="AF42" s="37"/>
      <c r="AG42" s="37"/>
      <c r="AH42" s="37"/>
      <c r="AI42" s="37"/>
      <c r="AJ42" s="37"/>
      <c r="AK42" s="37"/>
      <c r="AL42" s="37"/>
      <c r="AM42" s="37"/>
      <c r="AN42" s="37"/>
      <c r="AO42" s="37"/>
      <c r="AP42" s="37"/>
      <c r="AQ42" s="37"/>
      <c r="AR42" s="37"/>
      <c r="AS42" s="37"/>
      <c r="AT42" s="37"/>
      <c r="AU42" s="37"/>
      <c r="AV42" s="37"/>
      <c r="AW42" s="37"/>
      <c r="AX42" s="37"/>
      <c r="AY42" s="37"/>
      <c r="AZ42" s="37"/>
      <c r="BA42" s="37"/>
      <c r="BB42" s="37"/>
      <c r="BC42" s="37"/>
      <c r="BD42" s="37"/>
      <c r="BE42" s="37"/>
      <c r="BF42" s="37"/>
      <c r="BG42" s="37"/>
      <c r="BH42" s="37"/>
      <c r="BI42" s="37"/>
      <c r="BJ42" s="37"/>
      <c r="BK42" s="37"/>
    </row>
    <row r="43" spans="1:63" x14ac:dyDescent="0.3">
      <c r="A43" s="37"/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  <c r="AA43" s="37"/>
      <c r="AB43" s="37"/>
      <c r="AC43" s="37"/>
      <c r="AD43" s="37"/>
      <c r="AE43" s="37"/>
      <c r="AF43" s="37"/>
      <c r="AG43" s="37"/>
      <c r="AH43" s="37"/>
      <c r="AI43" s="37"/>
      <c r="AJ43" s="37"/>
      <c r="AK43" s="37"/>
      <c r="AL43" s="37"/>
      <c r="AM43" s="37"/>
      <c r="AN43" s="37"/>
      <c r="AO43" s="37"/>
      <c r="AP43" s="37"/>
      <c r="AQ43" s="37"/>
      <c r="AR43" s="37"/>
      <c r="AS43" s="37"/>
      <c r="AT43" s="37"/>
      <c r="AU43" s="37"/>
      <c r="AV43" s="37"/>
      <c r="AW43" s="37"/>
      <c r="AX43" s="37"/>
      <c r="AY43" s="37"/>
      <c r="AZ43" s="37"/>
      <c r="BA43" s="37"/>
      <c r="BB43" s="37"/>
      <c r="BC43" s="37"/>
      <c r="BD43" s="37"/>
      <c r="BE43" s="37"/>
      <c r="BF43" s="37"/>
      <c r="BG43" s="37"/>
      <c r="BH43" s="37"/>
      <c r="BI43" s="37"/>
      <c r="BJ43" s="37"/>
      <c r="BK43" s="37"/>
    </row>
    <row r="44" spans="1:63" x14ac:dyDescent="0.3">
      <c r="A44" s="37"/>
      <c r="B44" s="37"/>
      <c r="C44" s="37"/>
      <c r="D44" s="37"/>
      <c r="E44" s="37"/>
      <c r="F44" s="37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  <c r="AA44" s="37"/>
      <c r="AB44" s="37"/>
      <c r="AC44" s="37"/>
      <c r="AD44" s="37"/>
      <c r="AE44" s="37"/>
      <c r="AF44" s="37"/>
      <c r="AG44" s="37"/>
      <c r="AH44" s="37"/>
      <c r="AI44" s="37"/>
      <c r="AJ44" s="37"/>
      <c r="AK44" s="37"/>
      <c r="AL44" s="37"/>
      <c r="AM44" s="37"/>
      <c r="AN44" s="37"/>
      <c r="AO44" s="37"/>
      <c r="AP44" s="37"/>
      <c r="AQ44" s="37"/>
      <c r="AR44" s="37"/>
      <c r="AS44" s="37"/>
      <c r="AT44" s="37"/>
      <c r="AU44" s="37"/>
      <c r="AV44" s="37"/>
      <c r="AW44" s="37"/>
      <c r="AX44" s="37"/>
      <c r="AY44" s="37"/>
      <c r="AZ44" s="37"/>
      <c r="BA44" s="37"/>
      <c r="BB44" s="37"/>
      <c r="BC44" s="37"/>
      <c r="BD44" s="37"/>
      <c r="BE44" s="37"/>
      <c r="BF44" s="37"/>
      <c r="BG44" s="37"/>
      <c r="BH44" s="37"/>
      <c r="BI44" s="37"/>
      <c r="BJ44" s="37"/>
      <c r="BK44" s="37"/>
    </row>
    <row r="45" spans="1:63" x14ac:dyDescent="0.3">
      <c r="A45" s="37"/>
      <c r="B45" s="37"/>
      <c r="C45" s="37"/>
      <c r="E45" s="37"/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  <c r="AA45" s="37"/>
      <c r="AB45" s="37"/>
      <c r="AC45" s="37"/>
      <c r="AD45" s="37"/>
      <c r="AE45" s="37"/>
      <c r="AF45" s="37"/>
      <c r="AG45" s="37"/>
      <c r="AH45" s="37"/>
      <c r="AI45" s="37"/>
      <c r="AJ45" s="37"/>
      <c r="AK45" s="37"/>
      <c r="AL45" s="37"/>
      <c r="AM45" s="37"/>
      <c r="AN45" s="37"/>
      <c r="AO45" s="37"/>
      <c r="AP45" s="37"/>
      <c r="AQ45" s="37"/>
      <c r="AR45" s="37"/>
      <c r="AS45" s="37"/>
      <c r="AT45" s="37"/>
      <c r="AU45" s="37"/>
      <c r="AV45" s="37"/>
      <c r="AW45" s="37"/>
      <c r="AX45" s="37"/>
      <c r="AY45" s="37"/>
      <c r="AZ45" s="37"/>
      <c r="BA45" s="37"/>
      <c r="BB45" s="37"/>
      <c r="BC45" s="37"/>
      <c r="BD45" s="37"/>
      <c r="BE45" s="37"/>
      <c r="BF45" s="37"/>
      <c r="BG45" s="37"/>
      <c r="BH45" s="37"/>
      <c r="BI45" s="37"/>
      <c r="BJ45" s="37"/>
      <c r="BK45" s="37"/>
    </row>
    <row r="46" spans="1:63" x14ac:dyDescent="0.3">
      <c r="A46" s="37"/>
      <c r="B46" s="37"/>
      <c r="C46" s="37"/>
      <c r="D46" s="37"/>
      <c r="E46" s="37"/>
      <c r="F46" s="37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  <c r="AA46" s="37"/>
      <c r="AB46" s="37"/>
      <c r="AC46" s="37"/>
      <c r="AD46" s="37"/>
      <c r="AE46" s="37"/>
      <c r="AF46" s="37"/>
      <c r="AG46" s="37"/>
      <c r="AH46" s="37"/>
      <c r="AI46" s="37"/>
      <c r="AJ46" s="37"/>
      <c r="AK46" s="37"/>
      <c r="AL46" s="37"/>
      <c r="AM46" s="37"/>
      <c r="AN46" s="37"/>
      <c r="AO46" s="37"/>
      <c r="AP46" s="37"/>
      <c r="AQ46" s="37"/>
      <c r="AR46" s="37"/>
      <c r="AS46" s="37"/>
      <c r="AT46" s="37"/>
      <c r="AU46" s="37"/>
      <c r="AV46" s="37"/>
      <c r="AW46" s="37"/>
      <c r="AX46" s="37"/>
      <c r="AY46" s="37"/>
      <c r="AZ46" s="37"/>
      <c r="BA46" s="37"/>
      <c r="BB46" s="37"/>
      <c r="BC46" s="37"/>
      <c r="BD46" s="37"/>
      <c r="BE46" s="37"/>
      <c r="BF46" s="37"/>
      <c r="BG46" s="37"/>
      <c r="BH46" s="37"/>
      <c r="BI46" s="37"/>
      <c r="BJ46" s="37"/>
      <c r="BK46" s="37"/>
    </row>
    <row r="47" spans="1:63" x14ac:dyDescent="0.3">
      <c r="A47" s="37"/>
      <c r="B47" s="37"/>
      <c r="C47" s="37"/>
      <c r="D47" s="37"/>
      <c r="E47" s="37"/>
      <c r="F47" s="37"/>
      <c r="G47" s="37"/>
      <c r="H47" s="37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  <c r="AA47" s="37"/>
      <c r="AB47" s="37"/>
      <c r="AC47" s="37"/>
      <c r="AD47" s="37"/>
      <c r="AE47" s="37"/>
      <c r="AF47" s="37"/>
      <c r="AG47" s="37"/>
      <c r="AH47" s="37"/>
      <c r="AI47" s="37"/>
      <c r="AJ47" s="37"/>
      <c r="AK47" s="37"/>
      <c r="AL47" s="37"/>
      <c r="AM47" s="37"/>
      <c r="AN47" s="37"/>
      <c r="AO47" s="37"/>
      <c r="AP47" s="37"/>
      <c r="AQ47" s="37"/>
      <c r="AR47" s="37"/>
      <c r="AS47" s="37"/>
      <c r="AT47" s="37"/>
      <c r="AU47" s="37"/>
      <c r="AV47" s="37"/>
      <c r="AW47" s="37"/>
      <c r="AX47" s="37"/>
      <c r="AY47" s="37"/>
      <c r="AZ47" s="37"/>
      <c r="BA47" s="37"/>
      <c r="BB47" s="37"/>
      <c r="BC47" s="37"/>
      <c r="BD47" s="37"/>
      <c r="BE47" s="37"/>
      <c r="BF47" s="37"/>
      <c r="BG47" s="37"/>
      <c r="BH47" s="37"/>
      <c r="BI47" s="37"/>
      <c r="BJ47" s="37"/>
      <c r="BK47" s="37"/>
    </row>
    <row r="48" spans="1:63" x14ac:dyDescent="0.3">
      <c r="A48" s="37"/>
      <c r="B48" s="37"/>
      <c r="C48" s="37"/>
      <c r="D48" s="37"/>
      <c r="E48" s="37"/>
      <c r="F48" s="37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  <c r="AA48" s="37"/>
      <c r="AB48" s="37"/>
      <c r="AC48" s="37"/>
      <c r="AD48" s="37"/>
      <c r="AE48" s="37"/>
      <c r="AF48" s="37"/>
      <c r="AG48" s="37"/>
      <c r="AH48" s="37"/>
      <c r="AI48" s="37"/>
      <c r="AJ48" s="37"/>
      <c r="AK48" s="37"/>
      <c r="AL48" s="37"/>
      <c r="AM48" s="37"/>
      <c r="AN48" s="37"/>
      <c r="AO48" s="37"/>
      <c r="AP48" s="37"/>
      <c r="AQ48" s="37"/>
      <c r="AR48" s="37"/>
      <c r="AS48" s="37"/>
      <c r="AT48" s="37"/>
      <c r="AU48" s="37"/>
      <c r="AV48" s="37"/>
      <c r="AW48" s="37"/>
      <c r="AX48" s="37"/>
      <c r="AY48" s="37"/>
      <c r="AZ48" s="37"/>
      <c r="BA48" s="37"/>
      <c r="BB48" s="37"/>
      <c r="BC48" s="37"/>
      <c r="BD48" s="37"/>
      <c r="BE48" s="37"/>
      <c r="BF48" s="37"/>
      <c r="BG48" s="37"/>
      <c r="BH48" s="37"/>
      <c r="BI48" s="37"/>
      <c r="BJ48" s="37"/>
      <c r="BK48" s="37"/>
    </row>
    <row r="49" spans="1:4" x14ac:dyDescent="0.3">
      <c r="A49" s="37"/>
      <c r="B49" s="37"/>
      <c r="C49" s="37"/>
      <c r="D49" s="37"/>
    </row>
  </sheetData>
  <mergeCells count="1">
    <mergeCell ref="F5:H5"/>
  </mergeCells>
  <conditionalFormatting sqref="J7:AN26">
    <cfRule type="containsText" dxfId="239" priority="1" operator="containsText" text="P">
      <formula>NOT(ISERROR(SEARCH("P",J7)))</formula>
    </cfRule>
    <cfRule type="containsText" dxfId="238" priority="2" operator="containsText" text="L">
      <formula>NOT(ISERROR(SEARCH("L",J7)))</formula>
    </cfRule>
    <cfRule type="containsText" dxfId="237" priority="3" operator="containsText" text="A">
      <formula>NOT(ISERROR(SEARCH("A",J7)))</formula>
    </cfRule>
    <cfRule type="containsText" dxfId="236" priority="4" operator="containsText" text="WO">
      <formula>NOT(ISERROR(SEARCH("WO",J7)))</formula>
    </cfRule>
    <cfRule type="containsText" dxfId="235" priority="5" operator="containsText" text="WO">
      <formula>NOT(ISERROR(SEARCH("WO",J7)))</formula>
    </cfRule>
  </conditionalFormatting>
  <dataValidations count="2">
    <dataValidation type="list" allowBlank="1" showInputMessage="1" showErrorMessage="1" sqref="J7:J26 L7:Q26 S7:X26 Z7:AE26 AG7:AL26 AN7:AN26">
      <formula1>"P,A,L"</formula1>
    </dataValidation>
    <dataValidation type="list" allowBlank="1" showInputMessage="1" showErrorMessage="1" sqref="H4">
      <formula1>#REF!</formula1>
    </dataValidation>
  </dataValidations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MAR!AT7:AW7</xm:f>
              <xm:sqref>BD7</xm:sqref>
            </x14:sparkline>
            <x14:sparkline>
              <xm:f>MAR!AT8:AW8</xm:f>
              <xm:sqref>BD8</xm:sqref>
            </x14:sparkline>
            <x14:sparkline>
              <xm:f>MAR!AT9:AW9</xm:f>
              <xm:sqref>BD9</xm:sqref>
            </x14:sparkline>
            <x14:sparkline>
              <xm:f>MAR!AT10:AW10</xm:f>
              <xm:sqref>BD10</xm:sqref>
            </x14:sparkline>
            <x14:sparkline>
              <xm:f>MAR!AT11:AW11</xm:f>
              <xm:sqref>BD11</xm:sqref>
            </x14:sparkline>
            <x14:sparkline>
              <xm:f>MAR!AT12:AW12</xm:f>
              <xm:sqref>BD12</xm:sqref>
            </x14:sparkline>
            <x14:sparkline>
              <xm:f>MAR!AT13:AW13</xm:f>
              <xm:sqref>BD13</xm:sqref>
            </x14:sparkline>
            <x14:sparkline>
              <xm:f>MAR!AT14:AW14</xm:f>
              <xm:sqref>BD14</xm:sqref>
            </x14:sparkline>
            <x14:sparkline>
              <xm:f>MAR!AT15:AW15</xm:f>
              <xm:sqref>BD15</xm:sqref>
            </x14:sparkline>
            <x14:sparkline>
              <xm:f>MAR!AT16:AW16</xm:f>
              <xm:sqref>BD16</xm:sqref>
            </x14:sparkline>
            <x14:sparkline>
              <xm:f>MAR!AT17:AW17</xm:f>
              <xm:sqref>BD17</xm:sqref>
            </x14:sparkline>
            <x14:sparkline>
              <xm:f>MAR!AT18:AW18</xm:f>
              <xm:sqref>BD18</xm:sqref>
            </x14:sparkline>
            <x14:sparkline>
              <xm:f>MAR!AT19:AW19</xm:f>
              <xm:sqref>BD19</xm:sqref>
            </x14:sparkline>
            <x14:sparkline>
              <xm:f>MAR!AT20:AW20</xm:f>
              <xm:sqref>BD20</xm:sqref>
            </x14:sparkline>
            <x14:sparkline>
              <xm:f>MAR!AT21:AW21</xm:f>
              <xm:sqref>BD21</xm:sqref>
            </x14:sparkline>
            <x14:sparkline>
              <xm:f>MAR!AT22:AW22</xm:f>
              <xm:sqref>BD22</xm:sqref>
            </x14:sparkline>
            <x14:sparkline>
              <xm:f>MAR!AT23:AW23</xm:f>
              <xm:sqref>BD23</xm:sqref>
            </x14:sparkline>
            <x14:sparkline>
              <xm:f>MAR!AT24:AW24</xm:f>
              <xm:sqref>BD24</xm:sqref>
            </x14:sparkline>
            <x14:sparkline>
              <xm:f>MAR!AT25:AW25</xm:f>
              <xm:sqref>BD25</xm:sqref>
            </x14:sparkline>
            <x14:sparkline>
              <xm:f>MAR!AT26:AW26</xm:f>
              <xm:sqref>BD26</xm:sqref>
            </x14:sparkline>
          </x14:sparklines>
        </x14:sparklineGroup>
      </x14:sparklineGroup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49"/>
  <sheetViews>
    <sheetView topLeftCell="A4" zoomScaleNormal="100" workbookViewId="0">
      <selection activeCell="E20" sqref="E20"/>
    </sheetView>
  </sheetViews>
  <sheetFormatPr defaultColWidth="9.109375" defaultRowHeight="14.4" x14ac:dyDescent="0.3"/>
  <cols>
    <col min="1" max="6" width="9.109375" style="7"/>
    <col min="7" max="7" width="11.6640625" style="7" bestFit="1" customWidth="1"/>
    <col min="8" max="8" width="16" style="7" bestFit="1" customWidth="1"/>
    <col min="9" max="9" width="9.109375" style="7"/>
    <col min="10" max="10" width="5.33203125" style="7" bestFit="1" customWidth="1"/>
    <col min="11" max="11" width="6" style="7" customWidth="1"/>
    <col min="12" max="12" width="5" style="7" bestFit="1" customWidth="1"/>
    <col min="13" max="14" width="4.33203125" style="7" bestFit="1" customWidth="1"/>
    <col min="15" max="15" width="6.5546875" style="7" customWidth="1"/>
    <col min="16" max="16" width="4.33203125" style="7" bestFit="1" customWidth="1"/>
    <col min="17" max="17" width="5.109375" style="7" bestFit="1" customWidth="1"/>
    <col min="18" max="18" width="4.33203125" style="7" bestFit="1" customWidth="1"/>
    <col min="19" max="19" width="5" style="7" bestFit="1" customWidth="1"/>
    <col min="20" max="20" width="4.33203125" style="7" bestFit="1" customWidth="1"/>
    <col min="21" max="21" width="5.109375" style="7" bestFit="1" customWidth="1"/>
    <col min="22" max="22" width="5" style="7" bestFit="1" customWidth="1"/>
    <col min="23" max="23" width="4.33203125" style="7" bestFit="1" customWidth="1"/>
    <col min="24" max="24" width="5.109375" style="7" bestFit="1" customWidth="1"/>
    <col min="25" max="25" width="4.33203125" style="7" bestFit="1" customWidth="1"/>
    <col min="26" max="26" width="5" style="7" bestFit="1" customWidth="1"/>
    <col min="27" max="27" width="4.33203125" style="7" bestFit="1" customWidth="1"/>
    <col min="28" max="28" width="5.109375" style="7" bestFit="1" customWidth="1"/>
    <col min="29" max="29" width="5" style="7" bestFit="1" customWidth="1"/>
    <col min="30" max="30" width="4.33203125" style="7" bestFit="1" customWidth="1"/>
    <col min="31" max="31" width="5.109375" style="7" bestFit="1" customWidth="1"/>
    <col min="32" max="32" width="4.33203125" style="7" bestFit="1" customWidth="1"/>
    <col min="33" max="33" width="5" style="7" bestFit="1" customWidth="1"/>
    <col min="34" max="34" width="4.33203125" style="7" bestFit="1" customWidth="1"/>
    <col min="35" max="35" width="5.109375" style="7" bestFit="1" customWidth="1"/>
    <col min="36" max="37" width="4.33203125" style="7" bestFit="1" customWidth="1"/>
    <col min="38" max="38" width="5.109375" style="7" bestFit="1" customWidth="1"/>
    <col min="39" max="39" width="4.33203125" style="7" bestFit="1" customWidth="1"/>
    <col min="40" max="40" width="9.109375" style="7"/>
    <col min="41" max="41" width="9.33203125" style="7" bestFit="1" customWidth="1"/>
    <col min="42" max="43" width="14.33203125" style="7" customWidth="1"/>
    <col min="44" max="44" width="18" style="7" customWidth="1"/>
    <col min="45" max="45" width="10.5546875" style="7" customWidth="1"/>
    <col min="46" max="46" width="9.88671875" style="7" customWidth="1"/>
    <col min="47" max="47" width="9.33203125" style="7" bestFit="1" customWidth="1"/>
    <col min="48" max="48" width="12.109375" style="7" customWidth="1"/>
    <col min="49" max="49" width="9.33203125" style="7" bestFit="1" customWidth="1"/>
    <col min="50" max="50" width="11.88671875" style="7" customWidth="1"/>
    <col min="51" max="51" width="14.33203125" style="7" bestFit="1" customWidth="1"/>
    <col min="52" max="52" width="15.44140625" style="7" customWidth="1"/>
    <col min="53" max="53" width="12.88671875" style="7" customWidth="1"/>
    <col min="54" max="54" width="14.5546875" style="7" bestFit="1" customWidth="1"/>
    <col min="55" max="55" width="13.5546875" style="7" customWidth="1"/>
    <col min="56" max="16384" width="9.109375" style="7"/>
  </cols>
  <sheetData>
    <row r="1" spans="4:67" x14ac:dyDescent="0.3">
      <c r="AN1" s="37"/>
      <c r="BD1" s="37"/>
      <c r="BE1" s="37"/>
      <c r="BF1" s="37"/>
      <c r="BG1" s="37"/>
      <c r="BH1" s="37"/>
      <c r="BI1" s="37"/>
      <c r="BJ1" s="37"/>
    </row>
    <row r="2" spans="4:67" x14ac:dyDescent="0.3">
      <c r="AN2" s="37"/>
      <c r="BD2" s="37"/>
      <c r="BE2" s="37"/>
      <c r="BF2" s="37"/>
      <c r="BG2" s="37"/>
      <c r="BH2" s="37"/>
      <c r="BI2" s="37"/>
      <c r="BJ2" s="37"/>
    </row>
    <row r="3" spans="4:67" x14ac:dyDescent="0.3"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  <c r="AA3" s="37"/>
      <c r="AB3" s="37"/>
      <c r="AC3" s="37"/>
      <c r="AD3" s="37"/>
      <c r="AE3" s="37"/>
      <c r="AF3" s="37"/>
      <c r="AG3" s="37"/>
      <c r="AH3" s="37"/>
      <c r="AI3" s="37"/>
      <c r="AJ3" s="37"/>
      <c r="AK3" s="37"/>
      <c r="AL3" s="37"/>
      <c r="AM3" s="37"/>
      <c r="AN3" s="37"/>
      <c r="AO3" s="37"/>
      <c r="AP3" s="37"/>
      <c r="AQ3" s="37"/>
      <c r="AR3" s="37"/>
      <c r="AS3" s="37"/>
      <c r="AT3" s="37"/>
      <c r="AU3" s="37"/>
      <c r="AV3" s="37"/>
      <c r="AW3" s="37"/>
      <c r="AX3" s="37"/>
      <c r="AY3" s="37"/>
      <c r="AZ3" s="37"/>
      <c r="BA3" s="37"/>
      <c r="BB3" s="37"/>
      <c r="BC3" s="37"/>
      <c r="BD3" s="37"/>
      <c r="BE3" s="37"/>
      <c r="BF3" s="37"/>
      <c r="BG3" s="37"/>
      <c r="BH3" s="37"/>
      <c r="BI3" s="37"/>
      <c r="BJ3" s="37"/>
      <c r="BK3" s="37"/>
      <c r="BL3" s="37"/>
      <c r="BM3" s="37"/>
      <c r="BN3" s="37"/>
      <c r="BO3" s="37"/>
    </row>
    <row r="4" spans="4:67" ht="15" thickBot="1" x14ac:dyDescent="0.35">
      <c r="D4" s="37"/>
      <c r="E4" s="41"/>
      <c r="F4" s="41"/>
      <c r="G4" s="42" t="s">
        <v>26</v>
      </c>
      <c r="H4" s="43">
        <v>45748</v>
      </c>
      <c r="I4" s="42"/>
      <c r="J4" s="42" t="s">
        <v>27</v>
      </c>
      <c r="K4" s="43">
        <f>EOMONTH(H4,0)</f>
        <v>45777</v>
      </c>
      <c r="L4" s="42"/>
      <c r="M4" s="42"/>
      <c r="N4" s="42">
        <f>(DATEDIF($H$4,$K$4,"D"))+1</f>
        <v>30</v>
      </c>
      <c r="O4" s="44" t="str">
        <f>TEXT(H4,"MMMM")</f>
        <v>April</v>
      </c>
      <c r="P4" s="42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41"/>
      <c r="AC4" s="41"/>
      <c r="AD4" s="41"/>
      <c r="AE4" s="41"/>
      <c r="AF4" s="41"/>
      <c r="AG4" s="41"/>
      <c r="AH4" s="41"/>
      <c r="AI4" s="41"/>
      <c r="AJ4" s="41"/>
      <c r="AK4" s="41"/>
      <c r="AL4" s="41"/>
      <c r="AM4" s="41"/>
      <c r="AN4" s="37"/>
      <c r="AO4" s="37"/>
      <c r="AP4" s="37"/>
      <c r="AQ4" s="37"/>
      <c r="AR4" s="37"/>
      <c r="AS4" s="37"/>
      <c r="AT4" s="37"/>
      <c r="AU4" s="38"/>
      <c r="AV4" s="37"/>
      <c r="AW4" s="37"/>
      <c r="AX4" s="37"/>
      <c r="AY4" s="37"/>
      <c r="AZ4" s="37"/>
      <c r="BA4" s="37"/>
      <c r="BB4" s="37"/>
      <c r="BC4" s="37"/>
      <c r="BD4" s="37"/>
      <c r="BE4" s="37"/>
      <c r="BF4" s="37"/>
      <c r="BG4" s="37"/>
      <c r="BH4" s="37"/>
      <c r="BI4" s="37"/>
      <c r="BJ4" s="37"/>
      <c r="BK4" s="37"/>
      <c r="BL4" s="37"/>
      <c r="BM4" s="37"/>
      <c r="BN4" s="37"/>
      <c r="BO4" s="37"/>
    </row>
    <row r="5" spans="4:67" ht="15" thickBot="1" x14ac:dyDescent="0.35">
      <c r="D5" s="37"/>
      <c r="E5" s="41"/>
      <c r="F5" s="88" t="s">
        <v>40</v>
      </c>
      <c r="G5" s="89"/>
      <c r="H5" s="89"/>
      <c r="I5" s="54" t="s">
        <v>29</v>
      </c>
      <c r="J5" s="8" t="str">
        <f>TEXT(J6,"DDD")</f>
        <v>Tue</v>
      </c>
      <c r="K5" s="8" t="str">
        <f t="shared" ref="K5:AM5" si="0">TEXT(K6,"DDD")</f>
        <v>Wed</v>
      </c>
      <c r="L5" s="8" t="str">
        <f t="shared" si="0"/>
        <v>Thu</v>
      </c>
      <c r="M5" s="8" t="str">
        <f t="shared" si="0"/>
        <v>Fri</v>
      </c>
      <c r="N5" s="8" t="str">
        <f t="shared" si="0"/>
        <v>Sat</v>
      </c>
      <c r="O5" s="8" t="str">
        <f t="shared" si="0"/>
        <v>Sun</v>
      </c>
      <c r="P5" s="8" t="str">
        <f t="shared" si="0"/>
        <v>Mon</v>
      </c>
      <c r="Q5" s="8" t="str">
        <f t="shared" si="0"/>
        <v>Tue</v>
      </c>
      <c r="R5" s="8" t="str">
        <f t="shared" si="0"/>
        <v>Wed</v>
      </c>
      <c r="S5" s="8" t="str">
        <f t="shared" si="0"/>
        <v>Thu</v>
      </c>
      <c r="T5" s="8" t="str">
        <f t="shared" si="0"/>
        <v>Fri</v>
      </c>
      <c r="U5" s="8" t="str">
        <f t="shared" si="0"/>
        <v>Sat</v>
      </c>
      <c r="V5" s="8" t="str">
        <f t="shared" si="0"/>
        <v>Sun</v>
      </c>
      <c r="W5" s="8" t="str">
        <f t="shared" si="0"/>
        <v>Mon</v>
      </c>
      <c r="X5" s="8" t="str">
        <f t="shared" si="0"/>
        <v>Tue</v>
      </c>
      <c r="Y5" s="8" t="str">
        <f t="shared" si="0"/>
        <v>Wed</v>
      </c>
      <c r="Z5" s="8" t="str">
        <f t="shared" si="0"/>
        <v>Thu</v>
      </c>
      <c r="AA5" s="8" t="str">
        <f t="shared" si="0"/>
        <v>Fri</v>
      </c>
      <c r="AB5" s="8" t="str">
        <f t="shared" si="0"/>
        <v>Sat</v>
      </c>
      <c r="AC5" s="8" t="str">
        <f t="shared" si="0"/>
        <v>Sun</v>
      </c>
      <c r="AD5" s="8" t="str">
        <f t="shared" si="0"/>
        <v>Mon</v>
      </c>
      <c r="AE5" s="8" t="str">
        <f t="shared" si="0"/>
        <v>Tue</v>
      </c>
      <c r="AF5" s="8" t="str">
        <f t="shared" si="0"/>
        <v>Wed</v>
      </c>
      <c r="AG5" s="8" t="str">
        <f t="shared" si="0"/>
        <v>Thu</v>
      </c>
      <c r="AH5" s="8" t="str">
        <f t="shared" si="0"/>
        <v>Fri</v>
      </c>
      <c r="AI5" s="8" t="str">
        <f t="shared" si="0"/>
        <v>Sat</v>
      </c>
      <c r="AJ5" s="8" t="str">
        <f t="shared" si="0"/>
        <v>Sun</v>
      </c>
      <c r="AK5" s="8" t="str">
        <f t="shared" si="0"/>
        <v>Mon</v>
      </c>
      <c r="AL5" s="8" t="str">
        <f t="shared" si="0"/>
        <v>Tue</v>
      </c>
      <c r="AM5" s="9" t="str">
        <f t="shared" si="0"/>
        <v>Wed</v>
      </c>
      <c r="AN5" s="39"/>
      <c r="AO5" s="39"/>
      <c r="AP5" s="39"/>
      <c r="AQ5" s="39"/>
      <c r="AR5" s="39"/>
      <c r="AS5" s="39"/>
      <c r="AT5" s="39"/>
      <c r="AU5" s="39"/>
      <c r="AV5" s="39"/>
      <c r="AW5" s="39"/>
      <c r="AX5" s="39"/>
      <c r="AY5" s="39"/>
      <c r="AZ5" s="39"/>
      <c r="BA5" s="39"/>
      <c r="BB5" s="39"/>
      <c r="BC5" s="39"/>
      <c r="BD5" s="39"/>
      <c r="BE5" s="37"/>
      <c r="BF5" s="37"/>
      <c r="BG5" s="37"/>
      <c r="BH5" s="37"/>
      <c r="BI5" s="37"/>
      <c r="BJ5" s="37"/>
    </row>
    <row r="6" spans="4:67" ht="18.600000000000001" thickBot="1" x14ac:dyDescent="0.35">
      <c r="D6" s="37"/>
      <c r="E6" s="41"/>
      <c r="F6" s="10" t="s">
        <v>24</v>
      </c>
      <c r="G6" s="11" t="s">
        <v>23</v>
      </c>
      <c r="H6" s="11" t="s">
        <v>25</v>
      </c>
      <c r="I6" s="13" t="s">
        <v>28</v>
      </c>
      <c r="J6" s="14">
        <f>H4</f>
        <v>45748</v>
      </c>
      <c r="K6" s="14">
        <f>IF(J6&lt;$K$4,J6+1,"")</f>
        <v>45749</v>
      </c>
      <c r="L6" s="14">
        <f t="shared" ref="L6:AL6" si="1">IF(K6&lt;$K$4,K6+1,"")</f>
        <v>45750</v>
      </c>
      <c r="M6" s="14">
        <f t="shared" si="1"/>
        <v>45751</v>
      </c>
      <c r="N6" s="14">
        <f t="shared" si="1"/>
        <v>45752</v>
      </c>
      <c r="O6" s="14">
        <f t="shared" si="1"/>
        <v>45753</v>
      </c>
      <c r="P6" s="14">
        <f t="shared" si="1"/>
        <v>45754</v>
      </c>
      <c r="Q6" s="14">
        <f t="shared" si="1"/>
        <v>45755</v>
      </c>
      <c r="R6" s="14">
        <f t="shared" si="1"/>
        <v>45756</v>
      </c>
      <c r="S6" s="14">
        <f t="shared" si="1"/>
        <v>45757</v>
      </c>
      <c r="T6" s="14">
        <f t="shared" si="1"/>
        <v>45758</v>
      </c>
      <c r="U6" s="14">
        <f t="shared" si="1"/>
        <v>45759</v>
      </c>
      <c r="V6" s="14">
        <f t="shared" si="1"/>
        <v>45760</v>
      </c>
      <c r="W6" s="14">
        <f t="shared" si="1"/>
        <v>45761</v>
      </c>
      <c r="X6" s="14">
        <f t="shared" si="1"/>
        <v>45762</v>
      </c>
      <c r="Y6" s="14">
        <f t="shared" si="1"/>
        <v>45763</v>
      </c>
      <c r="Z6" s="14">
        <f t="shared" si="1"/>
        <v>45764</v>
      </c>
      <c r="AA6" s="14">
        <f t="shared" si="1"/>
        <v>45765</v>
      </c>
      <c r="AB6" s="14">
        <f t="shared" si="1"/>
        <v>45766</v>
      </c>
      <c r="AC6" s="14">
        <f t="shared" si="1"/>
        <v>45767</v>
      </c>
      <c r="AD6" s="14">
        <f t="shared" si="1"/>
        <v>45768</v>
      </c>
      <c r="AE6" s="14">
        <f t="shared" si="1"/>
        <v>45769</v>
      </c>
      <c r="AF6" s="14">
        <f t="shared" si="1"/>
        <v>45770</v>
      </c>
      <c r="AG6" s="14">
        <f t="shared" si="1"/>
        <v>45771</v>
      </c>
      <c r="AH6" s="14">
        <f t="shared" si="1"/>
        <v>45772</v>
      </c>
      <c r="AI6" s="14">
        <f t="shared" si="1"/>
        <v>45773</v>
      </c>
      <c r="AJ6" s="14">
        <f t="shared" si="1"/>
        <v>45774</v>
      </c>
      <c r="AK6" s="14">
        <f t="shared" si="1"/>
        <v>45775</v>
      </c>
      <c r="AL6" s="14">
        <f t="shared" si="1"/>
        <v>45776</v>
      </c>
      <c r="AM6" s="15">
        <f t="shared" ref="AM6" si="2">IF(AL6&lt;$K$4,AL6+1,"")</f>
        <v>45777</v>
      </c>
      <c r="AN6" s="40"/>
      <c r="AO6" s="34" t="s">
        <v>24</v>
      </c>
      <c r="AP6" s="35" t="s">
        <v>23</v>
      </c>
      <c r="AQ6" s="35" t="s">
        <v>41</v>
      </c>
      <c r="AR6" s="35" t="s">
        <v>25</v>
      </c>
      <c r="AS6" s="35" t="s">
        <v>30</v>
      </c>
      <c r="AT6" s="35" t="s">
        <v>31</v>
      </c>
      <c r="AU6" s="35" t="s">
        <v>32</v>
      </c>
      <c r="AV6" s="35" t="s">
        <v>38</v>
      </c>
      <c r="AW6" s="35" t="s">
        <v>29</v>
      </c>
      <c r="AX6" s="35" t="s">
        <v>33</v>
      </c>
      <c r="AY6" s="35" t="s">
        <v>34</v>
      </c>
      <c r="AZ6" s="35" t="s">
        <v>35</v>
      </c>
      <c r="BA6" s="35" t="s">
        <v>36</v>
      </c>
      <c r="BB6" s="35" t="s">
        <v>37</v>
      </c>
      <c r="BC6" s="36" t="s">
        <v>39</v>
      </c>
      <c r="BD6" s="39"/>
      <c r="BE6" s="37"/>
      <c r="BF6" s="37"/>
      <c r="BG6" s="37"/>
      <c r="BH6" s="37"/>
      <c r="BI6" s="37"/>
      <c r="BJ6" s="37"/>
    </row>
    <row r="7" spans="4:67" ht="15.6" x14ac:dyDescent="0.3">
      <c r="D7" s="37"/>
      <c r="E7" s="41"/>
      <c r="F7" s="16">
        <v>1</v>
      </c>
      <c r="G7" s="17">
        <v>1001</v>
      </c>
      <c r="H7" s="17" t="s">
        <v>3</v>
      </c>
      <c r="I7" s="60">
        <f t="shared" ref="I7:I26" si="3">COUNTIF($J$5:$AM$5,"SUN")</f>
        <v>4</v>
      </c>
      <c r="J7" s="63" t="s">
        <v>42</v>
      </c>
      <c r="K7" s="63" t="s">
        <v>42</v>
      </c>
      <c r="L7" s="63" t="s">
        <v>42</v>
      </c>
      <c r="M7" s="63" t="s">
        <v>42</v>
      </c>
      <c r="N7" s="63" t="s">
        <v>42</v>
      </c>
      <c r="O7" s="63" t="str">
        <f t="shared" ref="O7:AJ15" si="4">IF(O$5="Sun","WO","")</f>
        <v>WO</v>
      </c>
      <c r="P7" s="63" t="s">
        <v>42</v>
      </c>
      <c r="Q7" s="63" t="s">
        <v>42</v>
      </c>
      <c r="R7" s="63" t="s">
        <v>44</v>
      </c>
      <c r="S7" s="63" t="s">
        <v>42</v>
      </c>
      <c r="T7" s="63" t="s">
        <v>42</v>
      </c>
      <c r="U7" s="63" t="s">
        <v>42</v>
      </c>
      <c r="V7" s="63" t="str">
        <f t="shared" si="4"/>
        <v>WO</v>
      </c>
      <c r="W7" s="63" t="s">
        <v>42</v>
      </c>
      <c r="X7" s="63" t="s">
        <v>42</v>
      </c>
      <c r="Y7" s="63" t="s">
        <v>42</v>
      </c>
      <c r="Z7" s="63" t="s">
        <v>42</v>
      </c>
      <c r="AA7" s="63" t="s">
        <v>44</v>
      </c>
      <c r="AB7" s="63" t="s">
        <v>42</v>
      </c>
      <c r="AC7" s="63" t="str">
        <f t="shared" si="4"/>
        <v>WO</v>
      </c>
      <c r="AD7" s="63" t="s">
        <v>42</v>
      </c>
      <c r="AE7" s="63" t="s">
        <v>42</v>
      </c>
      <c r="AF7" s="63" t="s">
        <v>42</v>
      </c>
      <c r="AG7" s="63" t="s">
        <v>42</v>
      </c>
      <c r="AH7" s="63" t="s">
        <v>42</v>
      </c>
      <c r="AI7" s="63" t="s">
        <v>42</v>
      </c>
      <c r="AJ7" s="63" t="str">
        <f t="shared" si="4"/>
        <v>WO</v>
      </c>
      <c r="AK7" s="63" t="s">
        <v>42</v>
      </c>
      <c r="AL7" s="63" t="s">
        <v>42</v>
      </c>
      <c r="AM7" s="72" t="s">
        <v>42</v>
      </c>
      <c r="AN7" s="39"/>
      <c r="AO7" s="28">
        <v>1</v>
      </c>
      <c r="AP7" s="21">
        <v>1001</v>
      </c>
      <c r="AQ7" s="33" t="str">
        <f t="shared" ref="AQ7:AQ26" si="5">$O$4</f>
        <v>April</v>
      </c>
      <c r="AR7" s="21" t="s">
        <v>3</v>
      </c>
      <c r="AS7" s="29">
        <f t="shared" ref="AS7:AS26" si="6">COUNTIF($J7:$AM7,"*P*")</f>
        <v>24</v>
      </c>
      <c r="AT7" s="29">
        <f t="shared" ref="AT7:AT26" si="7">COUNTIF($J7:$AM7,"*A*")</f>
        <v>0</v>
      </c>
      <c r="AU7" s="29">
        <f t="shared" ref="AU7:AU26" si="8">COUNTIF($J7:$AM7,"*L*")</f>
        <v>2</v>
      </c>
      <c r="AV7" s="29">
        <f t="shared" ref="AV7:AV26" si="9">I7</f>
        <v>4</v>
      </c>
      <c r="AW7" s="30">
        <f>$N$4</f>
        <v>30</v>
      </c>
      <c r="AX7" s="29">
        <f>APRReport[[#This Row],[Days]]-APRReport[[#This Row],[Adsent]]</f>
        <v>30</v>
      </c>
      <c r="AY7" s="31">
        <v>10000</v>
      </c>
      <c r="AZ7" s="32">
        <f>APRReport[[#This Row],[Salary]]/APRReport[[#This Row],[Days]]</f>
        <v>333.33333333333331</v>
      </c>
      <c r="BA7" s="31">
        <f>APRReport[[#This Row],[Perday salary]]*APRReport[[#This Row],[Adsent]]</f>
        <v>0</v>
      </c>
      <c r="BB7" s="31">
        <f>APRReport[[#This Row],[Salary]]-APRReport[[#This Row],[Detuction ]]</f>
        <v>10000</v>
      </c>
      <c r="BC7" s="29"/>
      <c r="BD7" s="39"/>
      <c r="BE7" s="37"/>
      <c r="BF7" s="37"/>
      <c r="BG7" s="37"/>
      <c r="BH7" s="37"/>
      <c r="BI7" s="37"/>
      <c r="BJ7" s="37"/>
    </row>
    <row r="8" spans="4:67" ht="15.6" x14ac:dyDescent="0.3">
      <c r="D8" s="37"/>
      <c r="E8" s="41"/>
      <c r="F8" s="20">
        <v>2</v>
      </c>
      <c r="G8" s="21">
        <v>1002</v>
      </c>
      <c r="H8" s="21" t="s">
        <v>4</v>
      </c>
      <c r="I8" s="61">
        <f t="shared" si="3"/>
        <v>4</v>
      </c>
      <c r="J8" s="64" t="s">
        <v>42</v>
      </c>
      <c r="K8" s="64" t="s">
        <v>42</v>
      </c>
      <c r="L8" s="64" t="s">
        <v>42</v>
      </c>
      <c r="M8" s="64" t="s">
        <v>42</v>
      </c>
      <c r="N8" s="64" t="s">
        <v>42</v>
      </c>
      <c r="O8" s="64" t="str">
        <f t="shared" si="4"/>
        <v>WO</v>
      </c>
      <c r="P8" s="64" t="s">
        <v>42</v>
      </c>
      <c r="Q8" s="64" t="s">
        <v>42</v>
      </c>
      <c r="R8" s="64" t="s">
        <v>44</v>
      </c>
      <c r="S8" s="64" t="s">
        <v>42</v>
      </c>
      <c r="T8" s="64" t="s">
        <v>42</v>
      </c>
      <c r="U8" s="64" t="s">
        <v>42</v>
      </c>
      <c r="V8" s="64" t="str">
        <f t="shared" si="4"/>
        <v>WO</v>
      </c>
      <c r="W8" s="64" t="s">
        <v>42</v>
      </c>
      <c r="X8" s="64" t="s">
        <v>42</v>
      </c>
      <c r="Y8" s="64" t="s">
        <v>42</v>
      </c>
      <c r="Z8" s="64" t="s">
        <v>42</v>
      </c>
      <c r="AA8" s="64" t="s">
        <v>44</v>
      </c>
      <c r="AB8" s="64" t="s">
        <v>42</v>
      </c>
      <c r="AC8" s="64" t="str">
        <f t="shared" si="4"/>
        <v>WO</v>
      </c>
      <c r="AD8" s="64" t="s">
        <v>42</v>
      </c>
      <c r="AE8" s="64" t="s">
        <v>42</v>
      </c>
      <c r="AF8" s="64" t="s">
        <v>42</v>
      </c>
      <c r="AG8" s="64" t="s">
        <v>42</v>
      </c>
      <c r="AH8" s="64" t="s">
        <v>42</v>
      </c>
      <c r="AI8" s="64" t="s">
        <v>42</v>
      </c>
      <c r="AJ8" s="64" t="str">
        <f t="shared" si="4"/>
        <v>WO</v>
      </c>
      <c r="AK8" s="64" t="s">
        <v>42</v>
      </c>
      <c r="AL8" s="64" t="s">
        <v>42</v>
      </c>
      <c r="AM8" s="73" t="s">
        <v>42</v>
      </c>
      <c r="AN8" s="39"/>
      <c r="AO8" s="28">
        <v>2</v>
      </c>
      <c r="AP8" s="21">
        <v>1002</v>
      </c>
      <c r="AQ8" s="33" t="str">
        <f t="shared" si="5"/>
        <v>April</v>
      </c>
      <c r="AR8" s="21" t="s">
        <v>4</v>
      </c>
      <c r="AS8" s="29">
        <f t="shared" si="6"/>
        <v>24</v>
      </c>
      <c r="AT8" s="29">
        <f t="shared" si="7"/>
        <v>0</v>
      </c>
      <c r="AU8" s="29">
        <f t="shared" si="8"/>
        <v>2</v>
      </c>
      <c r="AV8" s="29">
        <f t="shared" si="9"/>
        <v>4</v>
      </c>
      <c r="AW8" s="30">
        <f t="shared" ref="AW8:AW26" si="10">$N$4</f>
        <v>30</v>
      </c>
      <c r="AX8" s="29">
        <f>APRReport[[#This Row],[Days]]-APRReport[[#This Row],[Adsent]]</f>
        <v>30</v>
      </c>
      <c r="AY8" s="31">
        <v>20000</v>
      </c>
      <c r="AZ8" s="32">
        <f>APRReport[[#This Row],[Salary]]/APRReport[[#This Row],[Days]]</f>
        <v>666.66666666666663</v>
      </c>
      <c r="BA8" s="31">
        <f>APRReport[[#This Row],[Perday salary]]*APRReport[[#This Row],[Adsent]]</f>
        <v>0</v>
      </c>
      <c r="BB8" s="31">
        <f>APRReport[[#This Row],[Salary]]-APRReport[[#This Row],[Detuction ]]</f>
        <v>20000</v>
      </c>
      <c r="BC8" s="29"/>
      <c r="BD8" s="39"/>
      <c r="BE8" s="37"/>
      <c r="BF8" s="37"/>
      <c r="BG8" s="37"/>
      <c r="BH8" s="37"/>
      <c r="BI8" s="37"/>
      <c r="BJ8" s="37"/>
    </row>
    <row r="9" spans="4:67" ht="15.6" x14ac:dyDescent="0.3">
      <c r="D9" s="37"/>
      <c r="E9" s="41"/>
      <c r="F9" s="20">
        <v>3</v>
      </c>
      <c r="G9" s="21">
        <v>1003</v>
      </c>
      <c r="H9" s="21" t="s">
        <v>5</v>
      </c>
      <c r="I9" s="61">
        <f t="shared" si="3"/>
        <v>4</v>
      </c>
      <c r="J9" s="64" t="s">
        <v>42</v>
      </c>
      <c r="K9" s="64" t="s">
        <v>42</v>
      </c>
      <c r="L9" s="64" t="s">
        <v>42</v>
      </c>
      <c r="M9" s="64" t="s">
        <v>42</v>
      </c>
      <c r="N9" s="64" t="s">
        <v>42</v>
      </c>
      <c r="O9" s="64" t="str">
        <f t="shared" si="4"/>
        <v>WO</v>
      </c>
      <c r="P9" s="64" t="s">
        <v>42</v>
      </c>
      <c r="Q9" s="64" t="s">
        <v>42</v>
      </c>
      <c r="R9" s="64" t="s">
        <v>44</v>
      </c>
      <c r="S9" s="64" t="s">
        <v>42</v>
      </c>
      <c r="T9" s="64" t="s">
        <v>42</v>
      </c>
      <c r="U9" s="64" t="s">
        <v>42</v>
      </c>
      <c r="V9" s="64" t="str">
        <f t="shared" si="4"/>
        <v>WO</v>
      </c>
      <c r="W9" s="64" t="s">
        <v>42</v>
      </c>
      <c r="X9" s="64" t="s">
        <v>42</v>
      </c>
      <c r="Y9" s="64" t="s">
        <v>42</v>
      </c>
      <c r="Z9" s="64" t="s">
        <v>42</v>
      </c>
      <c r="AA9" s="64" t="s">
        <v>44</v>
      </c>
      <c r="AB9" s="64" t="s">
        <v>42</v>
      </c>
      <c r="AC9" s="64" t="str">
        <f t="shared" si="4"/>
        <v>WO</v>
      </c>
      <c r="AD9" s="64" t="s">
        <v>42</v>
      </c>
      <c r="AE9" s="64" t="s">
        <v>42</v>
      </c>
      <c r="AF9" s="64" t="s">
        <v>42</v>
      </c>
      <c r="AG9" s="64" t="s">
        <v>42</v>
      </c>
      <c r="AH9" s="64" t="s">
        <v>42</v>
      </c>
      <c r="AI9" s="64" t="s">
        <v>42</v>
      </c>
      <c r="AJ9" s="64" t="str">
        <f t="shared" si="4"/>
        <v>WO</v>
      </c>
      <c r="AK9" s="64" t="s">
        <v>42</v>
      </c>
      <c r="AL9" s="64" t="s">
        <v>42</v>
      </c>
      <c r="AM9" s="73" t="s">
        <v>42</v>
      </c>
      <c r="AN9" s="39"/>
      <c r="AO9" s="28">
        <v>3</v>
      </c>
      <c r="AP9" s="21">
        <v>1003</v>
      </c>
      <c r="AQ9" s="33" t="str">
        <f t="shared" si="5"/>
        <v>April</v>
      </c>
      <c r="AR9" s="21" t="s">
        <v>5</v>
      </c>
      <c r="AS9" s="29">
        <f t="shared" si="6"/>
        <v>24</v>
      </c>
      <c r="AT9" s="29">
        <f t="shared" si="7"/>
        <v>0</v>
      </c>
      <c r="AU9" s="29">
        <f t="shared" si="8"/>
        <v>2</v>
      </c>
      <c r="AV9" s="29">
        <f t="shared" si="9"/>
        <v>4</v>
      </c>
      <c r="AW9" s="30">
        <f t="shared" si="10"/>
        <v>30</v>
      </c>
      <c r="AX9" s="29">
        <f>APRReport[[#This Row],[Days]]-APRReport[[#This Row],[Adsent]]</f>
        <v>30</v>
      </c>
      <c r="AY9" s="31">
        <v>25000</v>
      </c>
      <c r="AZ9" s="32">
        <f>APRReport[[#This Row],[Salary]]/APRReport[[#This Row],[Days]]</f>
        <v>833.33333333333337</v>
      </c>
      <c r="BA9" s="31">
        <f>APRReport[[#This Row],[Perday salary]]*APRReport[[#This Row],[Adsent]]</f>
        <v>0</v>
      </c>
      <c r="BB9" s="31">
        <f>APRReport[[#This Row],[Salary]]-APRReport[[#This Row],[Detuction ]]</f>
        <v>25000</v>
      </c>
      <c r="BC9" s="29"/>
      <c r="BD9" s="39"/>
      <c r="BE9" s="37"/>
      <c r="BF9" s="37"/>
      <c r="BG9" s="37"/>
      <c r="BH9" s="37"/>
      <c r="BI9" s="37"/>
      <c r="BJ9" s="37"/>
    </row>
    <row r="10" spans="4:67" ht="15.6" x14ac:dyDescent="0.3">
      <c r="D10" s="37"/>
      <c r="E10" s="41"/>
      <c r="F10" s="20">
        <v>4</v>
      </c>
      <c r="G10" s="21">
        <v>1004</v>
      </c>
      <c r="H10" s="21" t="s">
        <v>6</v>
      </c>
      <c r="I10" s="61">
        <f t="shared" si="3"/>
        <v>4</v>
      </c>
      <c r="J10" s="64" t="s">
        <v>42</v>
      </c>
      <c r="K10" s="64" t="s">
        <v>42</v>
      </c>
      <c r="L10" s="64" t="s">
        <v>42</v>
      </c>
      <c r="M10" s="64" t="s">
        <v>42</v>
      </c>
      <c r="N10" s="64" t="s">
        <v>42</v>
      </c>
      <c r="O10" s="64" t="str">
        <f t="shared" ref="O10" si="11">IF(O$5="Sun","WO","")</f>
        <v>WO</v>
      </c>
      <c r="P10" s="64" t="s">
        <v>42</v>
      </c>
      <c r="Q10" s="64" t="s">
        <v>42</v>
      </c>
      <c r="R10" s="64" t="s">
        <v>44</v>
      </c>
      <c r="S10" s="64" t="s">
        <v>42</v>
      </c>
      <c r="T10" s="64" t="s">
        <v>42</v>
      </c>
      <c r="U10" s="64" t="s">
        <v>42</v>
      </c>
      <c r="V10" s="64" t="str">
        <f t="shared" si="4"/>
        <v>WO</v>
      </c>
      <c r="W10" s="64" t="s">
        <v>42</v>
      </c>
      <c r="X10" s="64" t="s">
        <v>42</v>
      </c>
      <c r="Y10" s="64" t="s">
        <v>42</v>
      </c>
      <c r="Z10" s="64" t="s">
        <v>42</v>
      </c>
      <c r="AA10" s="64" t="s">
        <v>44</v>
      </c>
      <c r="AB10" s="64" t="s">
        <v>42</v>
      </c>
      <c r="AC10" s="64" t="str">
        <f t="shared" si="4"/>
        <v>WO</v>
      </c>
      <c r="AD10" s="64" t="s">
        <v>42</v>
      </c>
      <c r="AE10" s="64" t="s">
        <v>42</v>
      </c>
      <c r="AF10" s="64" t="s">
        <v>43</v>
      </c>
      <c r="AG10" s="64" t="s">
        <v>42</v>
      </c>
      <c r="AH10" s="64" t="s">
        <v>42</v>
      </c>
      <c r="AI10" s="64" t="s">
        <v>42</v>
      </c>
      <c r="AJ10" s="64" t="str">
        <f t="shared" si="4"/>
        <v>WO</v>
      </c>
      <c r="AK10" s="64" t="s">
        <v>42</v>
      </c>
      <c r="AL10" s="64" t="s">
        <v>43</v>
      </c>
      <c r="AM10" s="73" t="s">
        <v>42</v>
      </c>
      <c r="AN10" s="39"/>
      <c r="AO10" s="28">
        <v>4</v>
      </c>
      <c r="AP10" s="21">
        <v>1004</v>
      </c>
      <c r="AQ10" s="33" t="str">
        <f t="shared" si="5"/>
        <v>April</v>
      </c>
      <c r="AR10" s="21" t="s">
        <v>6</v>
      </c>
      <c r="AS10" s="29">
        <f t="shared" si="6"/>
        <v>22</v>
      </c>
      <c r="AT10" s="29">
        <f t="shared" si="7"/>
        <v>2</v>
      </c>
      <c r="AU10" s="29">
        <f t="shared" si="8"/>
        <v>2</v>
      </c>
      <c r="AV10" s="29">
        <f t="shared" si="9"/>
        <v>4</v>
      </c>
      <c r="AW10" s="30">
        <f t="shared" si="10"/>
        <v>30</v>
      </c>
      <c r="AX10" s="29">
        <f>APRReport[[#This Row],[Days]]-APRReport[[#This Row],[Adsent]]</f>
        <v>28</v>
      </c>
      <c r="AY10" s="31">
        <v>30000</v>
      </c>
      <c r="AZ10" s="32">
        <f>APRReport[[#This Row],[Salary]]/APRReport[[#This Row],[Days]]</f>
        <v>1000</v>
      </c>
      <c r="BA10" s="31">
        <f>APRReport[[#This Row],[Perday salary]]*APRReport[[#This Row],[Adsent]]</f>
        <v>2000</v>
      </c>
      <c r="BB10" s="31">
        <f>APRReport[[#This Row],[Salary]]-APRReport[[#This Row],[Detuction ]]</f>
        <v>28000</v>
      </c>
      <c r="BC10" s="29"/>
      <c r="BD10" s="39"/>
      <c r="BE10" s="37"/>
      <c r="BF10" s="37"/>
      <c r="BG10" s="37"/>
      <c r="BH10" s="37"/>
      <c r="BI10" s="37"/>
      <c r="BJ10" s="37"/>
    </row>
    <row r="11" spans="4:67" ht="15.6" x14ac:dyDescent="0.3">
      <c r="D11" s="37"/>
      <c r="E11" s="41"/>
      <c r="F11" s="20">
        <v>5</v>
      </c>
      <c r="G11" s="21">
        <v>1005</v>
      </c>
      <c r="H11" s="21" t="s">
        <v>7</v>
      </c>
      <c r="I11" s="61">
        <f t="shared" si="3"/>
        <v>4</v>
      </c>
      <c r="J11" s="64" t="s">
        <v>42</v>
      </c>
      <c r="K11" s="64" t="s">
        <v>42</v>
      </c>
      <c r="L11" s="64" t="s">
        <v>42</v>
      </c>
      <c r="M11" s="64" t="s">
        <v>42</v>
      </c>
      <c r="N11" s="64" t="s">
        <v>42</v>
      </c>
      <c r="O11" s="64" t="str">
        <f t="shared" si="4"/>
        <v>WO</v>
      </c>
      <c r="P11" s="64" t="s">
        <v>42</v>
      </c>
      <c r="Q11" s="64" t="s">
        <v>42</v>
      </c>
      <c r="R11" s="64" t="s">
        <v>44</v>
      </c>
      <c r="S11" s="64" t="s">
        <v>42</v>
      </c>
      <c r="T11" s="64" t="s">
        <v>43</v>
      </c>
      <c r="U11" s="64" t="s">
        <v>42</v>
      </c>
      <c r="V11" s="64" t="str">
        <f t="shared" si="4"/>
        <v>WO</v>
      </c>
      <c r="W11" s="64" t="s">
        <v>42</v>
      </c>
      <c r="X11" s="64" t="s">
        <v>42</v>
      </c>
      <c r="Y11" s="64" t="s">
        <v>42</v>
      </c>
      <c r="Z11" s="64" t="s">
        <v>42</v>
      </c>
      <c r="AA11" s="64" t="s">
        <v>44</v>
      </c>
      <c r="AB11" s="64" t="s">
        <v>42</v>
      </c>
      <c r="AC11" s="64" t="str">
        <f t="shared" si="4"/>
        <v>WO</v>
      </c>
      <c r="AD11" s="64" t="s">
        <v>42</v>
      </c>
      <c r="AE11" s="64" t="s">
        <v>42</v>
      </c>
      <c r="AF11" s="64" t="s">
        <v>42</v>
      </c>
      <c r="AG11" s="64" t="s">
        <v>42</v>
      </c>
      <c r="AH11" s="64" t="s">
        <v>42</v>
      </c>
      <c r="AI11" s="64" t="s">
        <v>42</v>
      </c>
      <c r="AJ11" s="64" t="str">
        <f t="shared" si="4"/>
        <v>WO</v>
      </c>
      <c r="AK11" s="64" t="s">
        <v>42</v>
      </c>
      <c r="AL11" s="64" t="s">
        <v>42</v>
      </c>
      <c r="AM11" s="73" t="s">
        <v>42</v>
      </c>
      <c r="AN11" s="39"/>
      <c r="AO11" s="28">
        <v>5</v>
      </c>
      <c r="AP11" s="21">
        <v>1005</v>
      </c>
      <c r="AQ11" s="33" t="str">
        <f t="shared" si="5"/>
        <v>April</v>
      </c>
      <c r="AR11" s="21" t="s">
        <v>7</v>
      </c>
      <c r="AS11" s="29">
        <f t="shared" si="6"/>
        <v>23</v>
      </c>
      <c r="AT11" s="29">
        <f t="shared" si="7"/>
        <v>1</v>
      </c>
      <c r="AU11" s="29">
        <f t="shared" si="8"/>
        <v>2</v>
      </c>
      <c r="AV11" s="29">
        <f t="shared" si="9"/>
        <v>4</v>
      </c>
      <c r="AW11" s="30">
        <f t="shared" si="10"/>
        <v>30</v>
      </c>
      <c r="AX11" s="29">
        <f>APRReport[[#This Row],[Days]]-APRReport[[#This Row],[Adsent]]</f>
        <v>29</v>
      </c>
      <c r="AY11" s="31">
        <v>45000</v>
      </c>
      <c r="AZ11" s="32">
        <f>APRReport[[#This Row],[Salary]]/APRReport[[#This Row],[Days]]</f>
        <v>1500</v>
      </c>
      <c r="BA11" s="31">
        <f>APRReport[[#This Row],[Perday salary]]*APRReport[[#This Row],[Adsent]]</f>
        <v>1500</v>
      </c>
      <c r="BB11" s="31">
        <f>APRReport[[#This Row],[Salary]]-APRReport[[#This Row],[Detuction ]]</f>
        <v>43500</v>
      </c>
      <c r="BC11" s="29"/>
      <c r="BD11" s="39"/>
      <c r="BE11" s="37"/>
      <c r="BF11" s="37"/>
      <c r="BG11" s="37"/>
      <c r="BH11" s="37"/>
      <c r="BI11" s="37"/>
      <c r="BJ11" s="37"/>
    </row>
    <row r="12" spans="4:67" ht="15.6" x14ac:dyDescent="0.3">
      <c r="D12" s="37"/>
      <c r="E12" s="41"/>
      <c r="F12" s="20">
        <v>6</v>
      </c>
      <c r="G12" s="21">
        <v>1006</v>
      </c>
      <c r="H12" s="21" t="s">
        <v>8</v>
      </c>
      <c r="I12" s="61">
        <f t="shared" si="3"/>
        <v>4</v>
      </c>
      <c r="J12" s="64" t="s">
        <v>42</v>
      </c>
      <c r="K12" s="64" t="s">
        <v>43</v>
      </c>
      <c r="L12" s="64" t="s">
        <v>42</v>
      </c>
      <c r="M12" s="64" t="s">
        <v>42</v>
      </c>
      <c r="N12" s="64" t="s">
        <v>42</v>
      </c>
      <c r="O12" s="64" t="str">
        <f t="shared" si="4"/>
        <v>WO</v>
      </c>
      <c r="P12" s="64" t="s">
        <v>42</v>
      </c>
      <c r="Q12" s="64" t="s">
        <v>42</v>
      </c>
      <c r="R12" s="64" t="s">
        <v>44</v>
      </c>
      <c r="S12" s="64" t="s">
        <v>42</v>
      </c>
      <c r="T12" s="64" t="s">
        <v>42</v>
      </c>
      <c r="U12" s="64" t="s">
        <v>42</v>
      </c>
      <c r="V12" s="64" t="str">
        <f t="shared" si="4"/>
        <v>WO</v>
      </c>
      <c r="W12" s="64" t="s">
        <v>42</v>
      </c>
      <c r="X12" s="64" t="s">
        <v>42</v>
      </c>
      <c r="Y12" s="64" t="s">
        <v>42</v>
      </c>
      <c r="Z12" s="64" t="s">
        <v>42</v>
      </c>
      <c r="AA12" s="64" t="s">
        <v>44</v>
      </c>
      <c r="AB12" s="64" t="s">
        <v>42</v>
      </c>
      <c r="AC12" s="64" t="str">
        <f t="shared" si="4"/>
        <v>WO</v>
      </c>
      <c r="AD12" s="64" t="s">
        <v>42</v>
      </c>
      <c r="AE12" s="64" t="s">
        <v>42</v>
      </c>
      <c r="AF12" s="64" t="s">
        <v>42</v>
      </c>
      <c r="AG12" s="64" t="s">
        <v>42</v>
      </c>
      <c r="AH12" s="64" t="s">
        <v>42</v>
      </c>
      <c r="AI12" s="64" t="s">
        <v>42</v>
      </c>
      <c r="AJ12" s="64" t="str">
        <f t="shared" si="4"/>
        <v>WO</v>
      </c>
      <c r="AK12" s="64" t="s">
        <v>42</v>
      </c>
      <c r="AL12" s="64" t="s">
        <v>42</v>
      </c>
      <c r="AM12" s="73" t="s">
        <v>42</v>
      </c>
      <c r="AN12" s="39"/>
      <c r="AO12" s="28">
        <v>6</v>
      </c>
      <c r="AP12" s="21">
        <v>1006</v>
      </c>
      <c r="AQ12" s="33" t="str">
        <f t="shared" si="5"/>
        <v>April</v>
      </c>
      <c r="AR12" s="21" t="s">
        <v>8</v>
      </c>
      <c r="AS12" s="29">
        <f t="shared" si="6"/>
        <v>23</v>
      </c>
      <c r="AT12" s="29">
        <f t="shared" si="7"/>
        <v>1</v>
      </c>
      <c r="AU12" s="29">
        <f t="shared" si="8"/>
        <v>2</v>
      </c>
      <c r="AV12" s="29">
        <f t="shared" si="9"/>
        <v>4</v>
      </c>
      <c r="AW12" s="30">
        <f t="shared" si="10"/>
        <v>30</v>
      </c>
      <c r="AX12" s="29">
        <f>APRReport[[#This Row],[Days]]-APRReport[[#This Row],[Adsent]]</f>
        <v>29</v>
      </c>
      <c r="AY12" s="31">
        <v>15000</v>
      </c>
      <c r="AZ12" s="32">
        <f>APRReport[[#This Row],[Salary]]/APRReport[[#This Row],[Days]]</f>
        <v>500</v>
      </c>
      <c r="BA12" s="31">
        <f>APRReport[[#This Row],[Perday salary]]*APRReport[[#This Row],[Adsent]]</f>
        <v>500</v>
      </c>
      <c r="BB12" s="31">
        <f>APRReport[[#This Row],[Salary]]-APRReport[[#This Row],[Detuction ]]</f>
        <v>14500</v>
      </c>
      <c r="BC12" s="29"/>
      <c r="BD12" s="39"/>
      <c r="BE12" s="37"/>
      <c r="BF12" s="37"/>
      <c r="BG12" s="37"/>
      <c r="BH12" s="37"/>
      <c r="BI12" s="37"/>
      <c r="BJ12" s="37"/>
    </row>
    <row r="13" spans="4:67" ht="15.6" x14ac:dyDescent="0.3">
      <c r="D13" s="37"/>
      <c r="E13" s="41"/>
      <c r="F13" s="20">
        <v>7</v>
      </c>
      <c r="G13" s="21">
        <v>1007</v>
      </c>
      <c r="H13" s="21" t="s">
        <v>9</v>
      </c>
      <c r="I13" s="61">
        <f t="shared" si="3"/>
        <v>4</v>
      </c>
      <c r="J13" s="64" t="s">
        <v>42</v>
      </c>
      <c r="K13" s="64" t="s">
        <v>42</v>
      </c>
      <c r="L13" s="64" t="s">
        <v>42</v>
      </c>
      <c r="M13" s="64" t="s">
        <v>42</v>
      </c>
      <c r="N13" s="64" t="s">
        <v>42</v>
      </c>
      <c r="O13" s="64" t="str">
        <f t="shared" si="4"/>
        <v>WO</v>
      </c>
      <c r="P13" s="64" t="s">
        <v>42</v>
      </c>
      <c r="Q13" s="64" t="s">
        <v>42</v>
      </c>
      <c r="R13" s="64" t="s">
        <v>44</v>
      </c>
      <c r="S13" s="64" t="s">
        <v>42</v>
      </c>
      <c r="T13" s="64" t="s">
        <v>42</v>
      </c>
      <c r="U13" s="64" t="s">
        <v>42</v>
      </c>
      <c r="V13" s="64" t="str">
        <f t="shared" si="4"/>
        <v>WO</v>
      </c>
      <c r="W13" s="64" t="s">
        <v>42</v>
      </c>
      <c r="X13" s="64" t="s">
        <v>42</v>
      </c>
      <c r="Y13" s="64" t="s">
        <v>42</v>
      </c>
      <c r="Z13" s="64" t="s">
        <v>42</v>
      </c>
      <c r="AA13" s="64" t="s">
        <v>44</v>
      </c>
      <c r="AB13" s="64" t="s">
        <v>42</v>
      </c>
      <c r="AC13" s="64" t="str">
        <f t="shared" si="4"/>
        <v>WO</v>
      </c>
      <c r="AD13" s="64" t="s">
        <v>42</v>
      </c>
      <c r="AE13" s="64" t="s">
        <v>42</v>
      </c>
      <c r="AF13" s="64" t="s">
        <v>42</v>
      </c>
      <c r="AG13" s="64" t="s">
        <v>43</v>
      </c>
      <c r="AH13" s="64" t="s">
        <v>42</v>
      </c>
      <c r="AI13" s="64" t="s">
        <v>42</v>
      </c>
      <c r="AJ13" s="64" t="str">
        <f t="shared" si="4"/>
        <v>WO</v>
      </c>
      <c r="AK13" s="64" t="s">
        <v>42</v>
      </c>
      <c r="AL13" s="64" t="s">
        <v>42</v>
      </c>
      <c r="AM13" s="73" t="s">
        <v>42</v>
      </c>
      <c r="AN13" s="39"/>
      <c r="AO13" s="28">
        <v>7</v>
      </c>
      <c r="AP13" s="21">
        <v>1007</v>
      </c>
      <c r="AQ13" s="33" t="str">
        <f t="shared" si="5"/>
        <v>April</v>
      </c>
      <c r="AR13" s="21" t="s">
        <v>9</v>
      </c>
      <c r="AS13" s="29">
        <f t="shared" si="6"/>
        <v>23</v>
      </c>
      <c r="AT13" s="29">
        <f t="shared" si="7"/>
        <v>1</v>
      </c>
      <c r="AU13" s="29">
        <f t="shared" si="8"/>
        <v>2</v>
      </c>
      <c r="AV13" s="29">
        <f t="shared" si="9"/>
        <v>4</v>
      </c>
      <c r="AW13" s="30">
        <f t="shared" si="10"/>
        <v>30</v>
      </c>
      <c r="AX13" s="29">
        <f>APRReport[[#This Row],[Days]]-APRReport[[#This Row],[Adsent]]</f>
        <v>29</v>
      </c>
      <c r="AY13" s="31">
        <v>62000</v>
      </c>
      <c r="AZ13" s="32">
        <f>APRReport[[#This Row],[Salary]]/APRReport[[#This Row],[Days]]</f>
        <v>2066.6666666666665</v>
      </c>
      <c r="BA13" s="31">
        <f>APRReport[[#This Row],[Perday salary]]*APRReport[[#This Row],[Adsent]]</f>
        <v>2066.6666666666665</v>
      </c>
      <c r="BB13" s="31">
        <f>APRReport[[#This Row],[Salary]]-APRReport[[#This Row],[Detuction ]]</f>
        <v>59933.333333333336</v>
      </c>
      <c r="BC13" s="29"/>
      <c r="BD13" s="39"/>
      <c r="BE13" s="37"/>
      <c r="BF13" s="37"/>
      <c r="BG13" s="37"/>
      <c r="BH13" s="37"/>
      <c r="BI13" s="37"/>
      <c r="BJ13" s="37"/>
    </row>
    <row r="14" spans="4:67" ht="15.6" x14ac:dyDescent="0.3">
      <c r="D14" s="37"/>
      <c r="E14" s="41"/>
      <c r="F14" s="20">
        <v>8</v>
      </c>
      <c r="G14" s="21">
        <v>1008</v>
      </c>
      <c r="H14" s="21" t="s">
        <v>10</v>
      </c>
      <c r="I14" s="61">
        <f t="shared" si="3"/>
        <v>4</v>
      </c>
      <c r="J14" s="64" t="s">
        <v>42</v>
      </c>
      <c r="K14" s="64" t="s">
        <v>42</v>
      </c>
      <c r="L14" s="64" t="s">
        <v>42</v>
      </c>
      <c r="M14" s="64" t="s">
        <v>42</v>
      </c>
      <c r="N14" s="64" t="s">
        <v>42</v>
      </c>
      <c r="O14" s="64" t="str">
        <f t="shared" si="4"/>
        <v>WO</v>
      </c>
      <c r="P14" s="64" t="s">
        <v>42</v>
      </c>
      <c r="Q14" s="64" t="s">
        <v>42</v>
      </c>
      <c r="R14" s="64" t="s">
        <v>44</v>
      </c>
      <c r="S14" s="64" t="s">
        <v>42</v>
      </c>
      <c r="T14" s="64" t="s">
        <v>42</v>
      </c>
      <c r="U14" s="64" t="s">
        <v>42</v>
      </c>
      <c r="V14" s="64" t="str">
        <f t="shared" si="4"/>
        <v>WO</v>
      </c>
      <c r="W14" s="64" t="s">
        <v>42</v>
      </c>
      <c r="X14" s="64" t="s">
        <v>42</v>
      </c>
      <c r="Y14" s="64" t="s">
        <v>42</v>
      </c>
      <c r="Z14" s="64" t="s">
        <v>42</v>
      </c>
      <c r="AA14" s="64" t="s">
        <v>44</v>
      </c>
      <c r="AB14" s="64" t="s">
        <v>42</v>
      </c>
      <c r="AC14" s="64" t="str">
        <f t="shared" si="4"/>
        <v>WO</v>
      </c>
      <c r="AD14" s="64" t="s">
        <v>42</v>
      </c>
      <c r="AE14" s="64" t="s">
        <v>42</v>
      </c>
      <c r="AF14" s="64" t="s">
        <v>42</v>
      </c>
      <c r="AG14" s="64" t="s">
        <v>42</v>
      </c>
      <c r="AH14" s="64" t="s">
        <v>42</v>
      </c>
      <c r="AI14" s="64" t="s">
        <v>42</v>
      </c>
      <c r="AJ14" s="64" t="str">
        <f t="shared" si="4"/>
        <v>WO</v>
      </c>
      <c r="AK14" s="64" t="s">
        <v>42</v>
      </c>
      <c r="AL14" s="64" t="s">
        <v>43</v>
      </c>
      <c r="AM14" s="73" t="s">
        <v>42</v>
      </c>
      <c r="AN14" s="39"/>
      <c r="AO14" s="28">
        <v>8</v>
      </c>
      <c r="AP14" s="21">
        <v>1008</v>
      </c>
      <c r="AQ14" s="33" t="str">
        <f t="shared" si="5"/>
        <v>April</v>
      </c>
      <c r="AR14" s="21" t="s">
        <v>10</v>
      </c>
      <c r="AS14" s="29">
        <f t="shared" si="6"/>
        <v>23</v>
      </c>
      <c r="AT14" s="29">
        <f t="shared" si="7"/>
        <v>1</v>
      </c>
      <c r="AU14" s="29">
        <f t="shared" si="8"/>
        <v>2</v>
      </c>
      <c r="AV14" s="29">
        <f t="shared" si="9"/>
        <v>4</v>
      </c>
      <c r="AW14" s="30">
        <f t="shared" si="10"/>
        <v>30</v>
      </c>
      <c r="AX14" s="29">
        <f>APRReport[[#This Row],[Days]]-APRReport[[#This Row],[Adsent]]</f>
        <v>29</v>
      </c>
      <c r="AY14" s="31">
        <v>50000</v>
      </c>
      <c r="AZ14" s="32">
        <f>APRReport[[#This Row],[Salary]]/APRReport[[#This Row],[Days]]</f>
        <v>1666.6666666666667</v>
      </c>
      <c r="BA14" s="31">
        <f>APRReport[[#This Row],[Perday salary]]*APRReport[[#This Row],[Adsent]]</f>
        <v>1666.6666666666667</v>
      </c>
      <c r="BB14" s="31">
        <f>APRReport[[#This Row],[Salary]]-APRReport[[#This Row],[Detuction ]]</f>
        <v>48333.333333333336</v>
      </c>
      <c r="BC14" s="29"/>
      <c r="BD14" s="39"/>
      <c r="BE14" s="37"/>
      <c r="BF14" s="37"/>
      <c r="BG14" s="37"/>
      <c r="BH14" s="37"/>
      <c r="BI14" s="37"/>
      <c r="BJ14" s="37"/>
    </row>
    <row r="15" spans="4:67" ht="15.6" x14ac:dyDescent="0.3">
      <c r="D15" s="37"/>
      <c r="E15" s="41"/>
      <c r="F15" s="20">
        <v>9</v>
      </c>
      <c r="G15" s="21">
        <v>1009</v>
      </c>
      <c r="H15" s="21" t="s">
        <v>11</v>
      </c>
      <c r="I15" s="61">
        <f t="shared" si="3"/>
        <v>4</v>
      </c>
      <c r="J15" s="64" t="s">
        <v>42</v>
      </c>
      <c r="K15" s="64" t="s">
        <v>42</v>
      </c>
      <c r="L15" s="64" t="s">
        <v>42</v>
      </c>
      <c r="M15" s="64" t="s">
        <v>42</v>
      </c>
      <c r="N15" s="64" t="s">
        <v>42</v>
      </c>
      <c r="O15" s="64" t="str">
        <f t="shared" si="4"/>
        <v>WO</v>
      </c>
      <c r="P15" s="64" t="s">
        <v>42</v>
      </c>
      <c r="Q15" s="64" t="s">
        <v>42</v>
      </c>
      <c r="R15" s="64" t="s">
        <v>44</v>
      </c>
      <c r="S15" s="64" t="s">
        <v>42</v>
      </c>
      <c r="T15" s="64" t="s">
        <v>43</v>
      </c>
      <c r="U15" s="64" t="s">
        <v>42</v>
      </c>
      <c r="V15" s="64" t="str">
        <f t="shared" si="4"/>
        <v>WO</v>
      </c>
      <c r="W15" s="64" t="s">
        <v>42</v>
      </c>
      <c r="X15" s="64" t="s">
        <v>42</v>
      </c>
      <c r="Y15" s="64" t="s">
        <v>42</v>
      </c>
      <c r="Z15" s="64" t="s">
        <v>42</v>
      </c>
      <c r="AA15" s="64" t="s">
        <v>44</v>
      </c>
      <c r="AB15" s="64" t="s">
        <v>42</v>
      </c>
      <c r="AC15" s="64" t="str">
        <f t="shared" ref="AC15:AJ26" si="12">IF(AC$5="Sun","WO","")</f>
        <v>WO</v>
      </c>
      <c r="AD15" s="64" t="s">
        <v>42</v>
      </c>
      <c r="AE15" s="64" t="s">
        <v>42</v>
      </c>
      <c r="AF15" s="64" t="s">
        <v>42</v>
      </c>
      <c r="AG15" s="64" t="s">
        <v>42</v>
      </c>
      <c r="AH15" s="64" t="s">
        <v>42</v>
      </c>
      <c r="AI15" s="64" t="s">
        <v>42</v>
      </c>
      <c r="AJ15" s="64" t="str">
        <f t="shared" si="12"/>
        <v>WO</v>
      </c>
      <c r="AK15" s="64" t="s">
        <v>42</v>
      </c>
      <c r="AL15" s="64" t="s">
        <v>42</v>
      </c>
      <c r="AM15" s="73" t="s">
        <v>42</v>
      </c>
      <c r="AN15" s="39"/>
      <c r="AO15" s="28">
        <v>9</v>
      </c>
      <c r="AP15" s="21">
        <v>1009</v>
      </c>
      <c r="AQ15" s="33" t="str">
        <f t="shared" si="5"/>
        <v>April</v>
      </c>
      <c r="AR15" s="21" t="s">
        <v>11</v>
      </c>
      <c r="AS15" s="29">
        <f t="shared" si="6"/>
        <v>23</v>
      </c>
      <c r="AT15" s="29">
        <f t="shared" si="7"/>
        <v>1</v>
      </c>
      <c r="AU15" s="29">
        <f t="shared" si="8"/>
        <v>2</v>
      </c>
      <c r="AV15" s="29">
        <f t="shared" si="9"/>
        <v>4</v>
      </c>
      <c r="AW15" s="30">
        <f t="shared" si="10"/>
        <v>30</v>
      </c>
      <c r="AX15" s="29">
        <f>APRReport[[#This Row],[Days]]-APRReport[[#This Row],[Adsent]]</f>
        <v>29</v>
      </c>
      <c r="AY15" s="31">
        <v>25000</v>
      </c>
      <c r="AZ15" s="32">
        <f>APRReport[[#This Row],[Salary]]/APRReport[[#This Row],[Days]]</f>
        <v>833.33333333333337</v>
      </c>
      <c r="BA15" s="31">
        <f>APRReport[[#This Row],[Perday salary]]*APRReport[[#This Row],[Adsent]]</f>
        <v>833.33333333333337</v>
      </c>
      <c r="BB15" s="31">
        <f>APRReport[[#This Row],[Salary]]-APRReport[[#This Row],[Detuction ]]</f>
        <v>24166.666666666668</v>
      </c>
      <c r="BC15" s="29"/>
      <c r="BD15" s="39"/>
      <c r="BE15" s="37"/>
      <c r="BF15" s="37"/>
      <c r="BG15" s="37"/>
      <c r="BH15" s="37"/>
      <c r="BI15" s="37"/>
      <c r="BJ15" s="37"/>
    </row>
    <row r="16" spans="4:67" ht="15.6" x14ac:dyDescent="0.3">
      <c r="D16" s="37"/>
      <c r="E16" s="41"/>
      <c r="F16" s="20">
        <v>10</v>
      </c>
      <c r="G16" s="21">
        <v>1010</v>
      </c>
      <c r="H16" s="21" t="s">
        <v>12</v>
      </c>
      <c r="I16" s="61">
        <f t="shared" si="3"/>
        <v>4</v>
      </c>
      <c r="J16" s="64" t="s">
        <v>42</v>
      </c>
      <c r="K16" s="64" t="s">
        <v>42</v>
      </c>
      <c r="L16" s="64" t="s">
        <v>42</v>
      </c>
      <c r="M16" s="64" t="s">
        <v>42</v>
      </c>
      <c r="N16" s="64" t="s">
        <v>42</v>
      </c>
      <c r="O16" s="64" t="str">
        <f t="shared" ref="O16:V26" si="13">IF(O$5="Sun","WO","")</f>
        <v>WO</v>
      </c>
      <c r="P16" s="64" t="s">
        <v>42</v>
      </c>
      <c r="Q16" s="64" t="s">
        <v>42</v>
      </c>
      <c r="R16" s="64" t="s">
        <v>44</v>
      </c>
      <c r="S16" s="64" t="s">
        <v>42</v>
      </c>
      <c r="T16" s="64" t="s">
        <v>42</v>
      </c>
      <c r="U16" s="64" t="s">
        <v>42</v>
      </c>
      <c r="V16" s="64" t="str">
        <f t="shared" si="13"/>
        <v>WO</v>
      </c>
      <c r="W16" s="64" t="s">
        <v>42</v>
      </c>
      <c r="X16" s="64" t="s">
        <v>42</v>
      </c>
      <c r="Y16" s="64" t="s">
        <v>42</v>
      </c>
      <c r="Z16" s="64" t="s">
        <v>42</v>
      </c>
      <c r="AA16" s="64" t="s">
        <v>44</v>
      </c>
      <c r="AB16" s="64" t="s">
        <v>42</v>
      </c>
      <c r="AC16" s="64" t="str">
        <f t="shared" si="12"/>
        <v>WO</v>
      </c>
      <c r="AD16" s="64" t="s">
        <v>42</v>
      </c>
      <c r="AE16" s="64" t="s">
        <v>42</v>
      </c>
      <c r="AF16" s="64" t="s">
        <v>42</v>
      </c>
      <c r="AG16" s="64" t="s">
        <v>42</v>
      </c>
      <c r="AH16" s="64" t="s">
        <v>42</v>
      </c>
      <c r="AI16" s="64" t="s">
        <v>42</v>
      </c>
      <c r="AJ16" s="64" t="str">
        <f t="shared" si="12"/>
        <v>WO</v>
      </c>
      <c r="AK16" s="64" t="s">
        <v>42</v>
      </c>
      <c r="AL16" s="64" t="s">
        <v>42</v>
      </c>
      <c r="AM16" s="73" t="s">
        <v>42</v>
      </c>
      <c r="AN16" s="39"/>
      <c r="AO16" s="28">
        <v>10</v>
      </c>
      <c r="AP16" s="21">
        <v>1010</v>
      </c>
      <c r="AQ16" s="33" t="str">
        <f t="shared" si="5"/>
        <v>April</v>
      </c>
      <c r="AR16" s="21" t="s">
        <v>12</v>
      </c>
      <c r="AS16" s="29">
        <f t="shared" si="6"/>
        <v>24</v>
      </c>
      <c r="AT16" s="29">
        <f t="shared" si="7"/>
        <v>0</v>
      </c>
      <c r="AU16" s="29">
        <f t="shared" si="8"/>
        <v>2</v>
      </c>
      <c r="AV16" s="29">
        <f t="shared" si="9"/>
        <v>4</v>
      </c>
      <c r="AW16" s="30">
        <f t="shared" si="10"/>
        <v>30</v>
      </c>
      <c r="AX16" s="29">
        <f>APRReport[[#This Row],[Days]]-APRReport[[#This Row],[Adsent]]</f>
        <v>30</v>
      </c>
      <c r="AY16" s="31">
        <v>45000</v>
      </c>
      <c r="AZ16" s="32">
        <f>APRReport[[#This Row],[Salary]]/APRReport[[#This Row],[Days]]</f>
        <v>1500</v>
      </c>
      <c r="BA16" s="31">
        <f>APRReport[[#This Row],[Perday salary]]*APRReport[[#This Row],[Adsent]]</f>
        <v>0</v>
      </c>
      <c r="BB16" s="31">
        <f>APRReport[[#This Row],[Salary]]-APRReport[[#This Row],[Detuction ]]</f>
        <v>45000</v>
      </c>
      <c r="BC16" s="29"/>
      <c r="BD16" s="39"/>
      <c r="BE16" s="37"/>
      <c r="BF16" s="37"/>
      <c r="BG16" s="37"/>
      <c r="BH16" s="37"/>
      <c r="BI16" s="37"/>
      <c r="BJ16" s="37"/>
    </row>
    <row r="17" spans="1:62" ht="15.6" x14ac:dyDescent="0.3">
      <c r="D17" s="37"/>
      <c r="E17" s="41"/>
      <c r="F17" s="20">
        <v>11</v>
      </c>
      <c r="G17" s="21">
        <v>1011</v>
      </c>
      <c r="H17" s="21" t="s">
        <v>13</v>
      </c>
      <c r="I17" s="61">
        <f t="shared" si="3"/>
        <v>4</v>
      </c>
      <c r="J17" s="64" t="s">
        <v>42</v>
      </c>
      <c r="K17" s="64" t="s">
        <v>42</v>
      </c>
      <c r="L17" s="64" t="s">
        <v>43</v>
      </c>
      <c r="M17" s="64" t="s">
        <v>42</v>
      </c>
      <c r="N17" s="64" t="s">
        <v>42</v>
      </c>
      <c r="O17" s="64" t="str">
        <f t="shared" si="13"/>
        <v>WO</v>
      </c>
      <c r="P17" s="64" t="s">
        <v>42</v>
      </c>
      <c r="Q17" s="64" t="s">
        <v>42</v>
      </c>
      <c r="R17" s="64" t="s">
        <v>44</v>
      </c>
      <c r="S17" s="64" t="s">
        <v>42</v>
      </c>
      <c r="T17" s="64" t="s">
        <v>42</v>
      </c>
      <c r="U17" s="64" t="s">
        <v>42</v>
      </c>
      <c r="V17" s="64" t="str">
        <f t="shared" si="13"/>
        <v>WO</v>
      </c>
      <c r="W17" s="64" t="s">
        <v>42</v>
      </c>
      <c r="X17" s="64" t="s">
        <v>42</v>
      </c>
      <c r="Y17" s="64" t="s">
        <v>42</v>
      </c>
      <c r="Z17" s="64" t="s">
        <v>42</v>
      </c>
      <c r="AA17" s="64" t="s">
        <v>44</v>
      </c>
      <c r="AB17" s="64" t="s">
        <v>42</v>
      </c>
      <c r="AC17" s="64" t="str">
        <f t="shared" si="12"/>
        <v>WO</v>
      </c>
      <c r="AD17" s="64" t="s">
        <v>42</v>
      </c>
      <c r="AE17" s="64" t="s">
        <v>42</v>
      </c>
      <c r="AF17" s="64" t="s">
        <v>42</v>
      </c>
      <c r="AG17" s="64" t="s">
        <v>42</v>
      </c>
      <c r="AH17" s="64" t="s">
        <v>42</v>
      </c>
      <c r="AI17" s="64" t="s">
        <v>42</v>
      </c>
      <c r="AJ17" s="64" t="str">
        <f t="shared" si="12"/>
        <v>WO</v>
      </c>
      <c r="AK17" s="64" t="s">
        <v>42</v>
      </c>
      <c r="AL17" s="64" t="s">
        <v>42</v>
      </c>
      <c r="AM17" s="73" t="s">
        <v>42</v>
      </c>
      <c r="AN17" s="39"/>
      <c r="AO17" s="28">
        <v>11</v>
      </c>
      <c r="AP17" s="21">
        <v>1011</v>
      </c>
      <c r="AQ17" s="33" t="str">
        <f t="shared" si="5"/>
        <v>April</v>
      </c>
      <c r="AR17" s="21" t="s">
        <v>13</v>
      </c>
      <c r="AS17" s="29">
        <f t="shared" si="6"/>
        <v>23</v>
      </c>
      <c r="AT17" s="29">
        <f t="shared" si="7"/>
        <v>1</v>
      </c>
      <c r="AU17" s="29">
        <f t="shared" si="8"/>
        <v>2</v>
      </c>
      <c r="AV17" s="29">
        <f t="shared" si="9"/>
        <v>4</v>
      </c>
      <c r="AW17" s="30">
        <f t="shared" si="10"/>
        <v>30</v>
      </c>
      <c r="AX17" s="29">
        <f>APRReport[[#This Row],[Days]]-APRReport[[#This Row],[Adsent]]</f>
        <v>29</v>
      </c>
      <c r="AY17" s="31">
        <v>48000</v>
      </c>
      <c r="AZ17" s="32">
        <f>APRReport[[#This Row],[Salary]]/APRReport[[#This Row],[Days]]</f>
        <v>1600</v>
      </c>
      <c r="BA17" s="31">
        <f>APRReport[[#This Row],[Perday salary]]*APRReport[[#This Row],[Adsent]]</f>
        <v>1600</v>
      </c>
      <c r="BB17" s="31">
        <f>APRReport[[#This Row],[Salary]]-APRReport[[#This Row],[Detuction ]]</f>
        <v>46400</v>
      </c>
      <c r="BC17" s="29"/>
      <c r="BD17" s="39"/>
      <c r="BE17" s="37"/>
      <c r="BF17" s="37"/>
      <c r="BG17" s="37"/>
      <c r="BH17" s="37"/>
      <c r="BI17" s="37"/>
      <c r="BJ17" s="37"/>
    </row>
    <row r="18" spans="1:62" ht="15.6" x14ac:dyDescent="0.3">
      <c r="D18" s="37"/>
      <c r="E18" s="41"/>
      <c r="F18" s="20">
        <v>12</v>
      </c>
      <c r="G18" s="21">
        <v>1012</v>
      </c>
      <c r="H18" s="21" t="s">
        <v>14</v>
      </c>
      <c r="I18" s="61">
        <f t="shared" si="3"/>
        <v>4</v>
      </c>
      <c r="J18" s="64" t="s">
        <v>42</v>
      </c>
      <c r="K18" s="64" t="s">
        <v>42</v>
      </c>
      <c r="L18" s="64" t="s">
        <v>42</v>
      </c>
      <c r="M18" s="64" t="s">
        <v>42</v>
      </c>
      <c r="N18" s="64" t="s">
        <v>42</v>
      </c>
      <c r="O18" s="64" t="str">
        <f t="shared" si="13"/>
        <v>WO</v>
      </c>
      <c r="P18" s="64" t="s">
        <v>42</v>
      </c>
      <c r="Q18" s="64" t="s">
        <v>42</v>
      </c>
      <c r="R18" s="64" t="s">
        <v>44</v>
      </c>
      <c r="S18" s="64" t="s">
        <v>42</v>
      </c>
      <c r="T18" s="64" t="s">
        <v>42</v>
      </c>
      <c r="U18" s="64" t="s">
        <v>42</v>
      </c>
      <c r="V18" s="64" t="str">
        <f t="shared" si="13"/>
        <v>WO</v>
      </c>
      <c r="W18" s="64" t="s">
        <v>42</v>
      </c>
      <c r="X18" s="64" t="s">
        <v>42</v>
      </c>
      <c r="Y18" s="64" t="s">
        <v>42</v>
      </c>
      <c r="Z18" s="64" t="s">
        <v>42</v>
      </c>
      <c r="AA18" s="64" t="s">
        <v>44</v>
      </c>
      <c r="AB18" s="64" t="s">
        <v>42</v>
      </c>
      <c r="AC18" s="64" t="str">
        <f t="shared" si="12"/>
        <v>WO</v>
      </c>
      <c r="AD18" s="64" t="s">
        <v>42</v>
      </c>
      <c r="AE18" s="64" t="s">
        <v>42</v>
      </c>
      <c r="AF18" s="64" t="s">
        <v>42</v>
      </c>
      <c r="AG18" s="64" t="s">
        <v>43</v>
      </c>
      <c r="AH18" s="64" t="s">
        <v>42</v>
      </c>
      <c r="AI18" s="64" t="s">
        <v>42</v>
      </c>
      <c r="AJ18" s="64" t="str">
        <f t="shared" si="12"/>
        <v>WO</v>
      </c>
      <c r="AK18" s="64" t="s">
        <v>42</v>
      </c>
      <c r="AL18" s="64" t="s">
        <v>42</v>
      </c>
      <c r="AM18" s="73" t="s">
        <v>42</v>
      </c>
      <c r="AN18" s="39"/>
      <c r="AO18" s="28">
        <v>12</v>
      </c>
      <c r="AP18" s="21">
        <v>1012</v>
      </c>
      <c r="AQ18" s="33" t="str">
        <f t="shared" si="5"/>
        <v>April</v>
      </c>
      <c r="AR18" s="21" t="s">
        <v>14</v>
      </c>
      <c r="AS18" s="29">
        <f t="shared" si="6"/>
        <v>23</v>
      </c>
      <c r="AT18" s="29">
        <f t="shared" si="7"/>
        <v>1</v>
      </c>
      <c r="AU18" s="29">
        <f t="shared" si="8"/>
        <v>2</v>
      </c>
      <c r="AV18" s="29">
        <f t="shared" si="9"/>
        <v>4</v>
      </c>
      <c r="AW18" s="30">
        <f t="shared" si="10"/>
        <v>30</v>
      </c>
      <c r="AX18" s="29">
        <f>APRReport[[#This Row],[Days]]-APRReport[[#This Row],[Adsent]]</f>
        <v>29</v>
      </c>
      <c r="AY18" s="31">
        <v>52000</v>
      </c>
      <c r="AZ18" s="32">
        <f>APRReport[[#This Row],[Salary]]/APRReport[[#This Row],[Days]]</f>
        <v>1733.3333333333333</v>
      </c>
      <c r="BA18" s="31">
        <f>APRReport[[#This Row],[Perday salary]]*APRReport[[#This Row],[Adsent]]</f>
        <v>1733.3333333333333</v>
      </c>
      <c r="BB18" s="31">
        <f>APRReport[[#This Row],[Salary]]-APRReport[[#This Row],[Detuction ]]</f>
        <v>50266.666666666664</v>
      </c>
      <c r="BC18" s="29"/>
      <c r="BD18" s="39"/>
      <c r="BE18" s="37"/>
      <c r="BF18" s="37"/>
      <c r="BG18" s="37"/>
      <c r="BH18" s="37"/>
      <c r="BI18" s="37"/>
      <c r="BJ18" s="37"/>
    </row>
    <row r="19" spans="1:62" ht="15.6" x14ac:dyDescent="0.3">
      <c r="D19" s="37"/>
      <c r="E19" s="41"/>
      <c r="F19" s="20">
        <v>13</v>
      </c>
      <c r="G19" s="21">
        <v>1013</v>
      </c>
      <c r="H19" s="21" t="s">
        <v>15</v>
      </c>
      <c r="I19" s="61">
        <f t="shared" si="3"/>
        <v>4</v>
      </c>
      <c r="J19" s="64" t="s">
        <v>42</v>
      </c>
      <c r="K19" s="64" t="s">
        <v>42</v>
      </c>
      <c r="L19" s="64" t="s">
        <v>42</v>
      </c>
      <c r="M19" s="64" t="s">
        <v>42</v>
      </c>
      <c r="N19" s="64" t="s">
        <v>42</v>
      </c>
      <c r="O19" s="64" t="str">
        <f t="shared" si="13"/>
        <v>WO</v>
      </c>
      <c r="P19" s="64" t="s">
        <v>42</v>
      </c>
      <c r="Q19" s="64" t="s">
        <v>42</v>
      </c>
      <c r="R19" s="64" t="s">
        <v>44</v>
      </c>
      <c r="S19" s="64" t="s">
        <v>42</v>
      </c>
      <c r="T19" s="64" t="s">
        <v>43</v>
      </c>
      <c r="U19" s="64" t="s">
        <v>42</v>
      </c>
      <c r="V19" s="64" t="str">
        <f t="shared" si="13"/>
        <v>WO</v>
      </c>
      <c r="W19" s="64" t="s">
        <v>42</v>
      </c>
      <c r="X19" s="64" t="s">
        <v>42</v>
      </c>
      <c r="Y19" s="64" t="s">
        <v>42</v>
      </c>
      <c r="Z19" s="64" t="s">
        <v>42</v>
      </c>
      <c r="AA19" s="64" t="s">
        <v>44</v>
      </c>
      <c r="AB19" s="64" t="s">
        <v>42</v>
      </c>
      <c r="AC19" s="64" t="str">
        <f t="shared" si="12"/>
        <v>WO</v>
      </c>
      <c r="AD19" s="64" t="s">
        <v>42</v>
      </c>
      <c r="AE19" s="64" t="s">
        <v>42</v>
      </c>
      <c r="AF19" s="64" t="s">
        <v>42</v>
      </c>
      <c r="AG19" s="64" t="s">
        <v>42</v>
      </c>
      <c r="AH19" s="64" t="s">
        <v>42</v>
      </c>
      <c r="AI19" s="64" t="s">
        <v>42</v>
      </c>
      <c r="AJ19" s="64" t="str">
        <f t="shared" si="12"/>
        <v>WO</v>
      </c>
      <c r="AK19" s="64" t="s">
        <v>42</v>
      </c>
      <c r="AL19" s="64" t="s">
        <v>43</v>
      </c>
      <c r="AM19" s="73" t="s">
        <v>42</v>
      </c>
      <c r="AN19" s="39"/>
      <c r="AO19" s="28">
        <v>13</v>
      </c>
      <c r="AP19" s="21">
        <v>1013</v>
      </c>
      <c r="AQ19" s="33" t="str">
        <f t="shared" si="5"/>
        <v>April</v>
      </c>
      <c r="AR19" s="21" t="s">
        <v>15</v>
      </c>
      <c r="AS19" s="29">
        <f t="shared" si="6"/>
        <v>22</v>
      </c>
      <c r="AT19" s="29">
        <f t="shared" si="7"/>
        <v>2</v>
      </c>
      <c r="AU19" s="29">
        <f t="shared" si="8"/>
        <v>2</v>
      </c>
      <c r="AV19" s="29">
        <f t="shared" si="9"/>
        <v>4</v>
      </c>
      <c r="AW19" s="30">
        <f t="shared" si="10"/>
        <v>30</v>
      </c>
      <c r="AX19" s="29">
        <f>APRReport[[#This Row],[Days]]-APRReport[[#This Row],[Adsent]]</f>
        <v>28</v>
      </c>
      <c r="AY19" s="31">
        <v>42000</v>
      </c>
      <c r="AZ19" s="32">
        <f>APRReport[[#This Row],[Salary]]/APRReport[[#This Row],[Days]]</f>
        <v>1400</v>
      </c>
      <c r="BA19" s="31">
        <f>APRReport[[#This Row],[Perday salary]]*APRReport[[#This Row],[Adsent]]</f>
        <v>2800</v>
      </c>
      <c r="BB19" s="31">
        <f>APRReport[[#This Row],[Salary]]-APRReport[[#This Row],[Detuction ]]</f>
        <v>39200</v>
      </c>
      <c r="BC19" s="29"/>
      <c r="BD19" s="39"/>
      <c r="BE19" s="37"/>
      <c r="BF19" s="37"/>
      <c r="BG19" s="37"/>
      <c r="BH19" s="37"/>
      <c r="BI19" s="37"/>
      <c r="BJ19" s="37"/>
    </row>
    <row r="20" spans="1:62" ht="15.6" x14ac:dyDescent="0.3">
      <c r="D20" s="37"/>
      <c r="E20" s="41"/>
      <c r="F20" s="20">
        <v>14</v>
      </c>
      <c r="G20" s="21">
        <v>1014</v>
      </c>
      <c r="H20" s="21" t="s">
        <v>16</v>
      </c>
      <c r="I20" s="61">
        <f t="shared" si="3"/>
        <v>4</v>
      </c>
      <c r="J20" s="64" t="s">
        <v>42</v>
      </c>
      <c r="K20" s="64" t="s">
        <v>42</v>
      </c>
      <c r="L20" s="64" t="s">
        <v>42</v>
      </c>
      <c r="M20" s="64" t="s">
        <v>42</v>
      </c>
      <c r="N20" s="64" t="s">
        <v>42</v>
      </c>
      <c r="O20" s="64" t="str">
        <f t="shared" si="13"/>
        <v>WO</v>
      </c>
      <c r="P20" s="64" t="s">
        <v>42</v>
      </c>
      <c r="Q20" s="64" t="s">
        <v>42</v>
      </c>
      <c r="R20" s="64" t="s">
        <v>44</v>
      </c>
      <c r="S20" s="64" t="s">
        <v>42</v>
      </c>
      <c r="T20" s="64" t="s">
        <v>42</v>
      </c>
      <c r="U20" s="64" t="s">
        <v>42</v>
      </c>
      <c r="V20" s="64" t="str">
        <f t="shared" si="13"/>
        <v>WO</v>
      </c>
      <c r="W20" s="64" t="s">
        <v>42</v>
      </c>
      <c r="X20" s="64" t="s">
        <v>42</v>
      </c>
      <c r="Y20" s="64" t="s">
        <v>42</v>
      </c>
      <c r="Z20" s="64" t="s">
        <v>42</v>
      </c>
      <c r="AA20" s="64" t="s">
        <v>44</v>
      </c>
      <c r="AB20" s="64" t="s">
        <v>42</v>
      </c>
      <c r="AC20" s="64" t="str">
        <f t="shared" si="12"/>
        <v>WO</v>
      </c>
      <c r="AD20" s="64" t="s">
        <v>42</v>
      </c>
      <c r="AE20" s="64" t="s">
        <v>42</v>
      </c>
      <c r="AF20" s="64" t="s">
        <v>42</v>
      </c>
      <c r="AG20" s="64" t="s">
        <v>42</v>
      </c>
      <c r="AH20" s="64" t="s">
        <v>42</v>
      </c>
      <c r="AI20" s="64" t="s">
        <v>42</v>
      </c>
      <c r="AJ20" s="64" t="str">
        <f t="shared" si="12"/>
        <v>WO</v>
      </c>
      <c r="AK20" s="64" t="s">
        <v>42</v>
      </c>
      <c r="AL20" s="64" t="s">
        <v>43</v>
      </c>
      <c r="AM20" s="73" t="s">
        <v>42</v>
      </c>
      <c r="AN20" s="39"/>
      <c r="AO20" s="28">
        <v>14</v>
      </c>
      <c r="AP20" s="21">
        <v>1014</v>
      </c>
      <c r="AQ20" s="33" t="str">
        <f t="shared" si="5"/>
        <v>April</v>
      </c>
      <c r="AR20" s="21" t="s">
        <v>16</v>
      </c>
      <c r="AS20" s="29">
        <f t="shared" si="6"/>
        <v>23</v>
      </c>
      <c r="AT20" s="29">
        <f t="shared" si="7"/>
        <v>1</v>
      </c>
      <c r="AU20" s="29">
        <f t="shared" si="8"/>
        <v>2</v>
      </c>
      <c r="AV20" s="29">
        <f t="shared" si="9"/>
        <v>4</v>
      </c>
      <c r="AW20" s="30">
        <f t="shared" si="10"/>
        <v>30</v>
      </c>
      <c r="AX20" s="29">
        <f>APRReport[[#This Row],[Days]]-APRReport[[#This Row],[Adsent]]</f>
        <v>29</v>
      </c>
      <c r="AY20" s="31">
        <v>15000</v>
      </c>
      <c r="AZ20" s="32">
        <f>APRReport[[#This Row],[Salary]]/APRReport[[#This Row],[Days]]</f>
        <v>500</v>
      </c>
      <c r="BA20" s="31">
        <f>APRReport[[#This Row],[Perday salary]]*APRReport[[#This Row],[Adsent]]</f>
        <v>500</v>
      </c>
      <c r="BB20" s="31">
        <f>APRReport[[#This Row],[Salary]]-APRReport[[#This Row],[Detuction ]]</f>
        <v>14500</v>
      </c>
      <c r="BC20" s="29"/>
      <c r="BD20" s="39"/>
      <c r="BE20" s="37"/>
      <c r="BF20" s="37"/>
      <c r="BG20" s="37"/>
      <c r="BH20" s="37"/>
      <c r="BI20" s="37"/>
      <c r="BJ20" s="37"/>
    </row>
    <row r="21" spans="1:62" ht="15.6" x14ac:dyDescent="0.3">
      <c r="D21" s="37"/>
      <c r="E21" s="41"/>
      <c r="F21" s="20">
        <v>15</v>
      </c>
      <c r="G21" s="21">
        <v>1015</v>
      </c>
      <c r="H21" s="21" t="s">
        <v>17</v>
      </c>
      <c r="I21" s="61">
        <f t="shared" si="3"/>
        <v>4</v>
      </c>
      <c r="J21" s="64" t="s">
        <v>42</v>
      </c>
      <c r="K21" s="64" t="s">
        <v>43</v>
      </c>
      <c r="L21" s="64" t="s">
        <v>43</v>
      </c>
      <c r="M21" s="64" t="s">
        <v>42</v>
      </c>
      <c r="N21" s="64" t="s">
        <v>42</v>
      </c>
      <c r="O21" s="64" t="str">
        <f t="shared" si="13"/>
        <v>WO</v>
      </c>
      <c r="P21" s="64" t="s">
        <v>42</v>
      </c>
      <c r="Q21" s="64" t="s">
        <v>42</v>
      </c>
      <c r="R21" s="64" t="s">
        <v>44</v>
      </c>
      <c r="S21" s="64" t="s">
        <v>42</v>
      </c>
      <c r="T21" s="64" t="s">
        <v>42</v>
      </c>
      <c r="U21" s="64" t="s">
        <v>43</v>
      </c>
      <c r="V21" s="64" t="str">
        <f t="shared" si="13"/>
        <v>WO</v>
      </c>
      <c r="W21" s="64" t="s">
        <v>42</v>
      </c>
      <c r="X21" s="64" t="s">
        <v>42</v>
      </c>
      <c r="Y21" s="64" t="s">
        <v>42</v>
      </c>
      <c r="Z21" s="64" t="s">
        <v>42</v>
      </c>
      <c r="AA21" s="64" t="s">
        <v>44</v>
      </c>
      <c r="AB21" s="64" t="s">
        <v>42</v>
      </c>
      <c r="AC21" s="64" t="str">
        <f t="shared" si="12"/>
        <v>WO</v>
      </c>
      <c r="AD21" s="64" t="s">
        <v>42</v>
      </c>
      <c r="AE21" s="64" t="s">
        <v>42</v>
      </c>
      <c r="AF21" s="64" t="s">
        <v>42</v>
      </c>
      <c r="AG21" s="64" t="s">
        <v>42</v>
      </c>
      <c r="AH21" s="64" t="s">
        <v>42</v>
      </c>
      <c r="AI21" s="64" t="s">
        <v>42</v>
      </c>
      <c r="AJ21" s="64" t="str">
        <f t="shared" si="12"/>
        <v>WO</v>
      </c>
      <c r="AK21" s="64" t="s">
        <v>42</v>
      </c>
      <c r="AL21" s="64" t="s">
        <v>42</v>
      </c>
      <c r="AM21" s="73" t="s">
        <v>42</v>
      </c>
      <c r="AN21" s="39"/>
      <c r="AO21" s="28">
        <v>15</v>
      </c>
      <c r="AP21" s="21">
        <v>1015</v>
      </c>
      <c r="AQ21" s="33" t="str">
        <f t="shared" si="5"/>
        <v>April</v>
      </c>
      <c r="AR21" s="21" t="s">
        <v>17</v>
      </c>
      <c r="AS21" s="29">
        <f t="shared" si="6"/>
        <v>21</v>
      </c>
      <c r="AT21" s="29">
        <f t="shared" si="7"/>
        <v>3</v>
      </c>
      <c r="AU21" s="29">
        <f t="shared" si="8"/>
        <v>2</v>
      </c>
      <c r="AV21" s="29">
        <f t="shared" si="9"/>
        <v>4</v>
      </c>
      <c r="AW21" s="30">
        <f t="shared" si="10"/>
        <v>30</v>
      </c>
      <c r="AX21" s="29">
        <f>APRReport[[#This Row],[Days]]-APRReport[[#This Row],[Adsent]]</f>
        <v>27</v>
      </c>
      <c r="AY21" s="31">
        <v>46000</v>
      </c>
      <c r="AZ21" s="32">
        <f>APRReport[[#This Row],[Salary]]/APRReport[[#This Row],[Days]]</f>
        <v>1533.3333333333333</v>
      </c>
      <c r="BA21" s="31">
        <f>APRReport[[#This Row],[Perday salary]]*APRReport[[#This Row],[Adsent]]</f>
        <v>4600</v>
      </c>
      <c r="BB21" s="31">
        <f>APRReport[[#This Row],[Salary]]-APRReport[[#This Row],[Detuction ]]</f>
        <v>41400</v>
      </c>
      <c r="BC21" s="29"/>
      <c r="BD21" s="39"/>
      <c r="BE21" s="37"/>
      <c r="BF21" s="37"/>
      <c r="BG21" s="37"/>
      <c r="BH21" s="37"/>
      <c r="BI21" s="37"/>
      <c r="BJ21" s="37"/>
    </row>
    <row r="22" spans="1:62" ht="15.6" x14ac:dyDescent="0.3">
      <c r="D22" s="37"/>
      <c r="E22" s="41"/>
      <c r="F22" s="20">
        <v>16</v>
      </c>
      <c r="G22" s="21">
        <v>1016</v>
      </c>
      <c r="H22" s="21" t="s">
        <v>18</v>
      </c>
      <c r="I22" s="61">
        <f t="shared" si="3"/>
        <v>4</v>
      </c>
      <c r="J22" s="64" t="s">
        <v>42</v>
      </c>
      <c r="K22" s="64" t="s">
        <v>42</v>
      </c>
      <c r="L22" s="64" t="s">
        <v>42</v>
      </c>
      <c r="M22" s="64" t="s">
        <v>42</v>
      </c>
      <c r="N22" s="64" t="s">
        <v>42</v>
      </c>
      <c r="O22" s="64" t="str">
        <f t="shared" si="13"/>
        <v>WO</v>
      </c>
      <c r="P22" s="64" t="s">
        <v>42</v>
      </c>
      <c r="Q22" s="64" t="s">
        <v>42</v>
      </c>
      <c r="R22" s="64" t="s">
        <v>44</v>
      </c>
      <c r="S22" s="64" t="s">
        <v>42</v>
      </c>
      <c r="T22" s="64" t="s">
        <v>42</v>
      </c>
      <c r="U22" s="64" t="s">
        <v>42</v>
      </c>
      <c r="V22" s="64" t="str">
        <f t="shared" si="13"/>
        <v>WO</v>
      </c>
      <c r="W22" s="64" t="s">
        <v>42</v>
      </c>
      <c r="X22" s="64" t="s">
        <v>42</v>
      </c>
      <c r="Y22" s="64" t="s">
        <v>42</v>
      </c>
      <c r="Z22" s="64" t="s">
        <v>42</v>
      </c>
      <c r="AA22" s="64" t="s">
        <v>44</v>
      </c>
      <c r="AB22" s="64" t="s">
        <v>42</v>
      </c>
      <c r="AC22" s="64" t="str">
        <f t="shared" si="12"/>
        <v>WO</v>
      </c>
      <c r="AD22" s="64" t="s">
        <v>42</v>
      </c>
      <c r="AE22" s="64" t="s">
        <v>42</v>
      </c>
      <c r="AF22" s="64" t="s">
        <v>42</v>
      </c>
      <c r="AG22" s="64" t="s">
        <v>43</v>
      </c>
      <c r="AH22" s="64" t="s">
        <v>42</v>
      </c>
      <c r="AI22" s="64" t="s">
        <v>42</v>
      </c>
      <c r="AJ22" s="64" t="str">
        <f t="shared" si="12"/>
        <v>WO</v>
      </c>
      <c r="AK22" s="64" t="s">
        <v>42</v>
      </c>
      <c r="AL22" s="64" t="s">
        <v>43</v>
      </c>
      <c r="AM22" s="73" t="s">
        <v>42</v>
      </c>
      <c r="AN22" s="39"/>
      <c r="AO22" s="28">
        <v>16</v>
      </c>
      <c r="AP22" s="21">
        <v>1016</v>
      </c>
      <c r="AQ22" s="33" t="str">
        <f t="shared" si="5"/>
        <v>April</v>
      </c>
      <c r="AR22" s="21" t="s">
        <v>18</v>
      </c>
      <c r="AS22" s="29">
        <f t="shared" si="6"/>
        <v>22</v>
      </c>
      <c r="AT22" s="29">
        <f t="shared" si="7"/>
        <v>2</v>
      </c>
      <c r="AU22" s="29">
        <f t="shared" si="8"/>
        <v>2</v>
      </c>
      <c r="AV22" s="29">
        <f t="shared" si="9"/>
        <v>4</v>
      </c>
      <c r="AW22" s="30">
        <f t="shared" si="10"/>
        <v>30</v>
      </c>
      <c r="AX22" s="29">
        <f>APRReport[[#This Row],[Days]]-APRReport[[#This Row],[Adsent]]</f>
        <v>28</v>
      </c>
      <c r="AY22" s="31">
        <v>52000</v>
      </c>
      <c r="AZ22" s="32">
        <f>APRReport[[#This Row],[Salary]]/APRReport[[#This Row],[Days]]</f>
        <v>1733.3333333333333</v>
      </c>
      <c r="BA22" s="31">
        <f>APRReport[[#This Row],[Perday salary]]*APRReport[[#This Row],[Adsent]]</f>
        <v>3466.6666666666665</v>
      </c>
      <c r="BB22" s="31">
        <f>APRReport[[#This Row],[Salary]]-APRReport[[#This Row],[Detuction ]]</f>
        <v>48533.333333333336</v>
      </c>
      <c r="BC22" s="29"/>
      <c r="BD22" s="39"/>
      <c r="BE22" s="37"/>
      <c r="BF22" s="37"/>
      <c r="BG22" s="37"/>
      <c r="BH22" s="37"/>
      <c r="BI22" s="37"/>
      <c r="BJ22" s="37"/>
    </row>
    <row r="23" spans="1:62" ht="15.6" x14ac:dyDescent="0.3">
      <c r="D23" s="37"/>
      <c r="E23" s="41"/>
      <c r="F23" s="20">
        <v>17</v>
      </c>
      <c r="G23" s="21">
        <v>1017</v>
      </c>
      <c r="H23" s="21" t="s">
        <v>19</v>
      </c>
      <c r="I23" s="61">
        <f t="shared" si="3"/>
        <v>4</v>
      </c>
      <c r="J23" s="64" t="s">
        <v>42</v>
      </c>
      <c r="K23" s="64" t="s">
        <v>42</v>
      </c>
      <c r="L23" s="64" t="s">
        <v>42</v>
      </c>
      <c r="M23" s="64" t="s">
        <v>42</v>
      </c>
      <c r="N23" s="64" t="s">
        <v>42</v>
      </c>
      <c r="O23" s="64" t="str">
        <f t="shared" si="13"/>
        <v>WO</v>
      </c>
      <c r="P23" s="64" t="s">
        <v>42</v>
      </c>
      <c r="Q23" s="64" t="s">
        <v>42</v>
      </c>
      <c r="R23" s="64" t="s">
        <v>44</v>
      </c>
      <c r="S23" s="64" t="s">
        <v>42</v>
      </c>
      <c r="T23" s="64" t="s">
        <v>42</v>
      </c>
      <c r="U23" s="64" t="s">
        <v>42</v>
      </c>
      <c r="V23" s="64" t="str">
        <f t="shared" si="13"/>
        <v>WO</v>
      </c>
      <c r="W23" s="64" t="s">
        <v>42</v>
      </c>
      <c r="X23" s="64" t="s">
        <v>42</v>
      </c>
      <c r="Y23" s="64" t="s">
        <v>42</v>
      </c>
      <c r="Z23" s="64" t="s">
        <v>42</v>
      </c>
      <c r="AA23" s="64" t="s">
        <v>44</v>
      </c>
      <c r="AB23" s="64" t="s">
        <v>42</v>
      </c>
      <c r="AC23" s="64" t="str">
        <f t="shared" si="12"/>
        <v>WO</v>
      </c>
      <c r="AD23" s="64" t="s">
        <v>42</v>
      </c>
      <c r="AE23" s="64" t="s">
        <v>42</v>
      </c>
      <c r="AF23" s="64" t="s">
        <v>43</v>
      </c>
      <c r="AG23" s="64" t="s">
        <v>42</v>
      </c>
      <c r="AH23" s="64" t="s">
        <v>42</v>
      </c>
      <c r="AI23" s="64" t="s">
        <v>42</v>
      </c>
      <c r="AJ23" s="64" t="str">
        <f t="shared" si="12"/>
        <v>WO</v>
      </c>
      <c r="AK23" s="64" t="s">
        <v>42</v>
      </c>
      <c r="AL23" s="64" t="s">
        <v>42</v>
      </c>
      <c r="AM23" s="73" t="s">
        <v>42</v>
      </c>
      <c r="AN23" s="39"/>
      <c r="AO23" s="28">
        <v>17</v>
      </c>
      <c r="AP23" s="21">
        <v>1017</v>
      </c>
      <c r="AQ23" s="33" t="str">
        <f t="shared" si="5"/>
        <v>April</v>
      </c>
      <c r="AR23" s="21" t="s">
        <v>19</v>
      </c>
      <c r="AS23" s="29">
        <f t="shared" si="6"/>
        <v>23</v>
      </c>
      <c r="AT23" s="29">
        <f t="shared" si="7"/>
        <v>1</v>
      </c>
      <c r="AU23" s="29">
        <f t="shared" si="8"/>
        <v>2</v>
      </c>
      <c r="AV23" s="29">
        <f t="shared" si="9"/>
        <v>4</v>
      </c>
      <c r="AW23" s="30">
        <f t="shared" si="10"/>
        <v>30</v>
      </c>
      <c r="AX23" s="29">
        <f>APRReport[[#This Row],[Days]]-APRReport[[#This Row],[Adsent]]</f>
        <v>29</v>
      </c>
      <c r="AY23" s="31">
        <v>42000</v>
      </c>
      <c r="AZ23" s="32">
        <f>APRReport[[#This Row],[Salary]]/APRReport[[#This Row],[Days]]</f>
        <v>1400</v>
      </c>
      <c r="BA23" s="31">
        <f>APRReport[[#This Row],[Perday salary]]*APRReport[[#This Row],[Adsent]]</f>
        <v>1400</v>
      </c>
      <c r="BB23" s="31">
        <f>APRReport[[#This Row],[Salary]]-APRReport[[#This Row],[Detuction ]]</f>
        <v>40600</v>
      </c>
      <c r="BC23" s="29"/>
      <c r="BD23" s="39"/>
      <c r="BE23" s="37"/>
      <c r="BF23" s="37"/>
      <c r="BG23" s="37"/>
      <c r="BH23" s="37"/>
      <c r="BI23" s="37"/>
      <c r="BJ23" s="37"/>
    </row>
    <row r="24" spans="1:62" ht="15.6" x14ac:dyDescent="0.3">
      <c r="D24" s="37"/>
      <c r="E24" s="41"/>
      <c r="F24" s="20">
        <v>18</v>
      </c>
      <c r="G24" s="21">
        <v>1018</v>
      </c>
      <c r="H24" s="21" t="s">
        <v>20</v>
      </c>
      <c r="I24" s="61">
        <f t="shared" si="3"/>
        <v>4</v>
      </c>
      <c r="J24" s="64" t="s">
        <v>43</v>
      </c>
      <c r="K24" s="64" t="s">
        <v>42</v>
      </c>
      <c r="L24" s="64" t="s">
        <v>42</v>
      </c>
      <c r="M24" s="64" t="s">
        <v>42</v>
      </c>
      <c r="N24" s="64" t="s">
        <v>42</v>
      </c>
      <c r="O24" s="64" t="str">
        <f t="shared" si="13"/>
        <v>WO</v>
      </c>
      <c r="P24" s="64" t="s">
        <v>42</v>
      </c>
      <c r="Q24" s="64" t="s">
        <v>42</v>
      </c>
      <c r="R24" s="64" t="s">
        <v>44</v>
      </c>
      <c r="S24" s="64" t="s">
        <v>42</v>
      </c>
      <c r="T24" s="64" t="s">
        <v>42</v>
      </c>
      <c r="U24" s="64" t="s">
        <v>42</v>
      </c>
      <c r="V24" s="64" t="str">
        <f t="shared" si="13"/>
        <v>WO</v>
      </c>
      <c r="W24" s="64" t="s">
        <v>42</v>
      </c>
      <c r="X24" s="64" t="s">
        <v>42</v>
      </c>
      <c r="Y24" s="64" t="s">
        <v>42</v>
      </c>
      <c r="Z24" s="64" t="s">
        <v>42</v>
      </c>
      <c r="AA24" s="64" t="s">
        <v>44</v>
      </c>
      <c r="AB24" s="64" t="s">
        <v>42</v>
      </c>
      <c r="AC24" s="64" t="str">
        <f t="shared" si="12"/>
        <v>WO</v>
      </c>
      <c r="AD24" s="64" t="s">
        <v>42</v>
      </c>
      <c r="AE24" s="64" t="s">
        <v>42</v>
      </c>
      <c r="AF24" s="64" t="s">
        <v>42</v>
      </c>
      <c r="AG24" s="64" t="s">
        <v>42</v>
      </c>
      <c r="AH24" s="64" t="s">
        <v>42</v>
      </c>
      <c r="AI24" s="64" t="s">
        <v>42</v>
      </c>
      <c r="AJ24" s="64" t="str">
        <f t="shared" si="12"/>
        <v>WO</v>
      </c>
      <c r="AK24" s="64" t="s">
        <v>42</v>
      </c>
      <c r="AL24" s="64" t="s">
        <v>42</v>
      </c>
      <c r="AM24" s="73" t="s">
        <v>42</v>
      </c>
      <c r="AN24" s="39"/>
      <c r="AO24" s="28">
        <v>18</v>
      </c>
      <c r="AP24" s="21">
        <v>1018</v>
      </c>
      <c r="AQ24" s="33" t="str">
        <f t="shared" si="5"/>
        <v>April</v>
      </c>
      <c r="AR24" s="21" t="s">
        <v>20</v>
      </c>
      <c r="AS24" s="29">
        <f t="shared" si="6"/>
        <v>23</v>
      </c>
      <c r="AT24" s="29">
        <f t="shared" si="7"/>
        <v>1</v>
      </c>
      <c r="AU24" s="29">
        <f t="shared" si="8"/>
        <v>2</v>
      </c>
      <c r="AV24" s="29">
        <f t="shared" si="9"/>
        <v>4</v>
      </c>
      <c r="AW24" s="30">
        <f t="shared" si="10"/>
        <v>30</v>
      </c>
      <c r="AX24" s="29">
        <f>APRReport[[#This Row],[Days]]-APRReport[[#This Row],[Adsent]]</f>
        <v>29</v>
      </c>
      <c r="AY24" s="31">
        <v>62000</v>
      </c>
      <c r="AZ24" s="32">
        <f>APRReport[[#This Row],[Salary]]/APRReport[[#This Row],[Days]]</f>
        <v>2066.6666666666665</v>
      </c>
      <c r="BA24" s="31">
        <f>APRReport[[#This Row],[Perday salary]]*APRReport[[#This Row],[Adsent]]</f>
        <v>2066.6666666666665</v>
      </c>
      <c r="BB24" s="31">
        <f>APRReport[[#This Row],[Salary]]-APRReport[[#This Row],[Detuction ]]</f>
        <v>59933.333333333336</v>
      </c>
      <c r="BC24" s="29"/>
      <c r="BD24" s="39"/>
      <c r="BE24" s="37"/>
      <c r="BF24" s="37"/>
      <c r="BG24" s="37"/>
      <c r="BH24" s="37"/>
      <c r="BI24" s="37"/>
      <c r="BJ24" s="37"/>
    </row>
    <row r="25" spans="1:62" ht="15.6" x14ac:dyDescent="0.3">
      <c r="D25" s="37"/>
      <c r="E25" s="41"/>
      <c r="F25" s="20">
        <v>19</v>
      </c>
      <c r="G25" s="21">
        <v>1019</v>
      </c>
      <c r="H25" s="21" t="s">
        <v>21</v>
      </c>
      <c r="I25" s="61">
        <f t="shared" si="3"/>
        <v>4</v>
      </c>
      <c r="J25" s="64" t="s">
        <v>42</v>
      </c>
      <c r="K25" s="64" t="s">
        <v>42</v>
      </c>
      <c r="L25" s="64" t="s">
        <v>42</v>
      </c>
      <c r="M25" s="64" t="s">
        <v>42</v>
      </c>
      <c r="N25" s="64" t="s">
        <v>42</v>
      </c>
      <c r="O25" s="64" t="str">
        <f t="shared" si="13"/>
        <v>WO</v>
      </c>
      <c r="P25" s="64" t="s">
        <v>42</v>
      </c>
      <c r="Q25" s="64" t="s">
        <v>42</v>
      </c>
      <c r="R25" s="64" t="s">
        <v>44</v>
      </c>
      <c r="S25" s="64" t="s">
        <v>42</v>
      </c>
      <c r="T25" s="64" t="s">
        <v>42</v>
      </c>
      <c r="U25" s="64" t="s">
        <v>42</v>
      </c>
      <c r="V25" s="64" t="str">
        <f t="shared" si="13"/>
        <v>WO</v>
      </c>
      <c r="W25" s="64" t="s">
        <v>42</v>
      </c>
      <c r="X25" s="64" t="s">
        <v>42</v>
      </c>
      <c r="Y25" s="64" t="s">
        <v>42</v>
      </c>
      <c r="Z25" s="64" t="s">
        <v>42</v>
      </c>
      <c r="AA25" s="64" t="s">
        <v>44</v>
      </c>
      <c r="AB25" s="64" t="s">
        <v>42</v>
      </c>
      <c r="AC25" s="64" t="str">
        <f t="shared" si="12"/>
        <v>WO</v>
      </c>
      <c r="AD25" s="64" t="s">
        <v>42</v>
      </c>
      <c r="AE25" s="64" t="s">
        <v>42</v>
      </c>
      <c r="AF25" s="64" t="s">
        <v>42</v>
      </c>
      <c r="AG25" s="64" t="s">
        <v>42</v>
      </c>
      <c r="AH25" s="64" t="s">
        <v>42</v>
      </c>
      <c r="AI25" s="64" t="s">
        <v>42</v>
      </c>
      <c r="AJ25" s="64" t="str">
        <f t="shared" si="12"/>
        <v>WO</v>
      </c>
      <c r="AK25" s="64" t="s">
        <v>42</v>
      </c>
      <c r="AL25" s="64" t="s">
        <v>42</v>
      </c>
      <c r="AM25" s="73" t="s">
        <v>42</v>
      </c>
      <c r="AN25" s="39"/>
      <c r="AO25" s="28">
        <v>19</v>
      </c>
      <c r="AP25" s="21">
        <v>1019</v>
      </c>
      <c r="AQ25" s="33" t="str">
        <f t="shared" si="5"/>
        <v>April</v>
      </c>
      <c r="AR25" s="21" t="s">
        <v>21</v>
      </c>
      <c r="AS25" s="29">
        <f t="shared" si="6"/>
        <v>24</v>
      </c>
      <c r="AT25" s="29">
        <f t="shared" si="7"/>
        <v>0</v>
      </c>
      <c r="AU25" s="29">
        <f t="shared" si="8"/>
        <v>2</v>
      </c>
      <c r="AV25" s="29">
        <f t="shared" si="9"/>
        <v>4</v>
      </c>
      <c r="AW25" s="30">
        <f t="shared" si="10"/>
        <v>30</v>
      </c>
      <c r="AX25" s="29">
        <f>APRReport[[#This Row],[Days]]-APRReport[[#This Row],[Adsent]]</f>
        <v>30</v>
      </c>
      <c r="AY25" s="31">
        <v>41000</v>
      </c>
      <c r="AZ25" s="32">
        <f>APRReport[[#This Row],[Salary]]/APRReport[[#This Row],[Days]]</f>
        <v>1366.6666666666667</v>
      </c>
      <c r="BA25" s="31">
        <f>APRReport[[#This Row],[Perday salary]]*APRReport[[#This Row],[Adsent]]</f>
        <v>0</v>
      </c>
      <c r="BB25" s="31">
        <f>APRReport[[#This Row],[Salary]]-APRReport[[#This Row],[Detuction ]]</f>
        <v>41000</v>
      </c>
      <c r="BC25" s="29"/>
      <c r="BD25" s="39"/>
      <c r="BE25" s="37"/>
      <c r="BF25" s="37"/>
      <c r="BG25" s="37"/>
      <c r="BH25" s="37"/>
      <c r="BI25" s="37"/>
      <c r="BJ25" s="37"/>
    </row>
    <row r="26" spans="1:62" ht="16.2" thickBot="1" x14ac:dyDescent="0.35">
      <c r="D26" s="37"/>
      <c r="E26" s="41"/>
      <c r="F26" s="24">
        <v>20</v>
      </c>
      <c r="G26" s="25">
        <v>1020</v>
      </c>
      <c r="H26" s="25" t="s">
        <v>22</v>
      </c>
      <c r="I26" s="62">
        <f t="shared" si="3"/>
        <v>4</v>
      </c>
      <c r="J26" s="65" t="s">
        <v>42</v>
      </c>
      <c r="K26" s="65" t="s">
        <v>42</v>
      </c>
      <c r="L26" s="65" t="s">
        <v>42</v>
      </c>
      <c r="M26" s="65" t="s">
        <v>42</v>
      </c>
      <c r="N26" s="65" t="s">
        <v>42</v>
      </c>
      <c r="O26" s="65" t="str">
        <f t="shared" si="13"/>
        <v>WO</v>
      </c>
      <c r="P26" s="65" t="s">
        <v>42</v>
      </c>
      <c r="Q26" s="65" t="s">
        <v>42</v>
      </c>
      <c r="R26" s="65" t="s">
        <v>44</v>
      </c>
      <c r="S26" s="65" t="s">
        <v>42</v>
      </c>
      <c r="T26" s="65" t="s">
        <v>42</v>
      </c>
      <c r="U26" s="65" t="s">
        <v>42</v>
      </c>
      <c r="V26" s="65" t="str">
        <f t="shared" si="13"/>
        <v>WO</v>
      </c>
      <c r="W26" s="65" t="s">
        <v>42</v>
      </c>
      <c r="X26" s="65" t="s">
        <v>42</v>
      </c>
      <c r="Y26" s="65" t="s">
        <v>42</v>
      </c>
      <c r="Z26" s="65" t="s">
        <v>42</v>
      </c>
      <c r="AA26" s="65" t="s">
        <v>44</v>
      </c>
      <c r="AB26" s="65" t="s">
        <v>42</v>
      </c>
      <c r="AC26" s="65" t="str">
        <f t="shared" si="12"/>
        <v>WO</v>
      </c>
      <c r="AD26" s="65" t="s">
        <v>42</v>
      </c>
      <c r="AE26" s="65" t="s">
        <v>42</v>
      </c>
      <c r="AF26" s="65" t="s">
        <v>42</v>
      </c>
      <c r="AG26" s="65" t="s">
        <v>42</v>
      </c>
      <c r="AH26" s="65" t="s">
        <v>42</v>
      </c>
      <c r="AI26" s="65" t="s">
        <v>42</v>
      </c>
      <c r="AJ26" s="65" t="str">
        <f t="shared" si="12"/>
        <v>WO</v>
      </c>
      <c r="AK26" s="65" t="s">
        <v>42</v>
      </c>
      <c r="AL26" s="65" t="s">
        <v>42</v>
      </c>
      <c r="AM26" s="74" t="s">
        <v>42</v>
      </c>
      <c r="AN26" s="39"/>
      <c r="AO26" s="28">
        <v>20</v>
      </c>
      <c r="AP26" s="21">
        <v>1020</v>
      </c>
      <c r="AQ26" s="33" t="str">
        <f t="shared" si="5"/>
        <v>April</v>
      </c>
      <c r="AR26" s="21" t="s">
        <v>22</v>
      </c>
      <c r="AS26" s="29">
        <f t="shared" si="6"/>
        <v>24</v>
      </c>
      <c r="AT26" s="29">
        <f t="shared" si="7"/>
        <v>0</v>
      </c>
      <c r="AU26" s="29">
        <f t="shared" si="8"/>
        <v>2</v>
      </c>
      <c r="AV26" s="29">
        <f t="shared" si="9"/>
        <v>4</v>
      </c>
      <c r="AW26" s="30">
        <f t="shared" si="10"/>
        <v>30</v>
      </c>
      <c r="AX26" s="29">
        <f>APRReport[[#This Row],[Days]]-APRReport[[#This Row],[Adsent]]</f>
        <v>30</v>
      </c>
      <c r="AY26" s="31">
        <v>30000</v>
      </c>
      <c r="AZ26" s="32">
        <f>APRReport[[#This Row],[Salary]]/APRReport[[#This Row],[Days]]</f>
        <v>1000</v>
      </c>
      <c r="BA26" s="31">
        <f>APRReport[[#This Row],[Perday salary]]*APRReport[[#This Row],[Adsent]]</f>
        <v>0</v>
      </c>
      <c r="BB26" s="31">
        <f>APRReport[[#This Row],[Salary]]-APRReport[[#This Row],[Detuction ]]</f>
        <v>30000</v>
      </c>
      <c r="BC26" s="29"/>
      <c r="BD26" s="39"/>
      <c r="BE26" s="37"/>
      <c r="BF26" s="37"/>
      <c r="BG26" s="37"/>
      <c r="BH26" s="37"/>
      <c r="BI26" s="37"/>
      <c r="BJ26" s="37"/>
    </row>
    <row r="27" spans="1:62" x14ac:dyDescent="0.3">
      <c r="D27" s="37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  <c r="AA27" s="41"/>
      <c r="AB27" s="41"/>
      <c r="AC27" s="41"/>
      <c r="AD27" s="41"/>
      <c r="AE27" s="41"/>
      <c r="AF27" s="41"/>
      <c r="AG27" s="41"/>
      <c r="AH27" s="41"/>
      <c r="AI27" s="41"/>
      <c r="AJ27" s="41"/>
      <c r="AK27" s="41"/>
      <c r="AL27" s="41"/>
      <c r="AM27" s="41"/>
      <c r="AN27" s="39"/>
      <c r="AO27" s="39"/>
      <c r="AP27" s="39"/>
      <c r="AQ27" s="39"/>
      <c r="AR27" s="39"/>
      <c r="AS27" s="39"/>
      <c r="AT27" s="39"/>
      <c r="AU27" s="39"/>
      <c r="AV27" s="39"/>
      <c r="AW27" s="39"/>
      <c r="AX27" s="39"/>
      <c r="AY27" s="39"/>
      <c r="AZ27" s="39"/>
      <c r="BA27" s="39"/>
      <c r="BB27" s="39"/>
      <c r="BC27" s="39"/>
      <c r="BD27" s="39"/>
      <c r="BE27" s="37"/>
      <c r="BF27" s="37"/>
      <c r="BG27" s="37"/>
      <c r="BH27" s="37"/>
      <c r="BI27" s="37"/>
      <c r="BJ27" s="37"/>
    </row>
    <row r="28" spans="1:62" x14ac:dyDescent="0.3"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  <c r="AA28" s="37"/>
      <c r="AB28" s="37"/>
      <c r="AC28" s="37"/>
      <c r="AD28" s="37"/>
      <c r="AE28" s="37"/>
      <c r="AF28" s="37"/>
      <c r="AG28" s="37"/>
      <c r="AH28" s="37"/>
      <c r="AI28" s="37"/>
      <c r="AJ28" s="37"/>
      <c r="AK28" s="37"/>
      <c r="AL28" s="37"/>
      <c r="AM28" s="37"/>
      <c r="AN28" s="37"/>
      <c r="AO28" s="37"/>
      <c r="AP28" s="37"/>
      <c r="AQ28" s="37"/>
      <c r="AR28" s="37"/>
      <c r="AS28" s="37"/>
      <c r="AT28" s="37"/>
      <c r="AU28" s="37"/>
      <c r="AV28" s="37"/>
      <c r="AW28" s="37"/>
      <c r="AX28" s="37"/>
      <c r="AY28" s="37"/>
      <c r="AZ28" s="37"/>
      <c r="BA28" s="37"/>
      <c r="BB28" s="37"/>
      <c r="BC28" s="37"/>
      <c r="BD28" s="37"/>
      <c r="BE28" s="37"/>
      <c r="BF28" s="37"/>
      <c r="BG28" s="37"/>
      <c r="BH28" s="37"/>
      <c r="BI28" s="37"/>
      <c r="BJ28" s="37"/>
    </row>
    <row r="29" spans="1:62" x14ac:dyDescent="0.3"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  <c r="AA29" s="37"/>
      <c r="AB29" s="37"/>
      <c r="AC29" s="37"/>
      <c r="AD29" s="37"/>
      <c r="AE29" s="37"/>
      <c r="AF29" s="37"/>
      <c r="AG29" s="37"/>
      <c r="AH29" s="37"/>
      <c r="AI29" s="37"/>
      <c r="AJ29" s="37"/>
      <c r="AK29" s="37"/>
      <c r="AL29" s="37"/>
      <c r="AM29" s="37"/>
      <c r="AN29" s="37"/>
      <c r="AO29" s="37"/>
      <c r="AP29" s="37"/>
      <c r="AQ29" s="37"/>
      <c r="AR29" s="37"/>
      <c r="AS29" s="37"/>
      <c r="AT29" s="37"/>
      <c r="AU29" s="37"/>
      <c r="AV29" s="37"/>
      <c r="AW29" s="37"/>
      <c r="AX29" s="37"/>
      <c r="AY29" s="37"/>
      <c r="AZ29" s="37"/>
      <c r="BA29" s="37"/>
      <c r="BB29" s="37"/>
      <c r="BC29" s="37"/>
      <c r="BD29" s="37"/>
      <c r="BE29" s="37"/>
      <c r="BF29" s="37"/>
      <c r="BG29" s="37"/>
      <c r="BH29" s="37"/>
      <c r="BI29" s="37"/>
      <c r="BJ29" s="37"/>
    </row>
    <row r="30" spans="1:62" x14ac:dyDescent="0.3">
      <c r="A30" s="37"/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  <c r="AA30" s="37"/>
      <c r="AB30" s="37"/>
      <c r="AC30" s="37"/>
      <c r="AD30" s="37"/>
      <c r="AE30" s="37"/>
      <c r="AF30" s="37"/>
      <c r="AG30" s="37"/>
      <c r="AH30" s="37"/>
      <c r="AI30" s="37"/>
      <c r="AJ30" s="37"/>
      <c r="AK30" s="37"/>
      <c r="AL30" s="37"/>
      <c r="AM30" s="37"/>
      <c r="AN30" s="37"/>
      <c r="AO30" s="37"/>
      <c r="AP30" s="37"/>
      <c r="AQ30" s="37"/>
      <c r="AR30" s="37"/>
      <c r="AS30" s="37"/>
      <c r="AT30" s="37"/>
      <c r="AU30" s="37"/>
      <c r="AV30" s="37"/>
      <c r="AW30" s="37"/>
      <c r="AX30" s="37"/>
      <c r="AY30" s="37"/>
      <c r="AZ30" s="37"/>
      <c r="BA30" s="37"/>
      <c r="BB30" s="37"/>
      <c r="BC30" s="37"/>
      <c r="BD30" s="37"/>
      <c r="BE30" s="37"/>
      <c r="BF30" s="37"/>
      <c r="BG30" s="37"/>
      <c r="BH30" s="37"/>
      <c r="BI30" s="37"/>
      <c r="BJ30" s="37"/>
    </row>
    <row r="31" spans="1:62" x14ac:dyDescent="0.3">
      <c r="A31" s="37"/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  <c r="AA31" s="37"/>
      <c r="AB31" s="37"/>
      <c r="AC31" s="37"/>
      <c r="AD31" s="37"/>
      <c r="AE31" s="37"/>
      <c r="AF31" s="37"/>
      <c r="AG31" s="37"/>
      <c r="AH31" s="37"/>
      <c r="AI31" s="37"/>
      <c r="AJ31" s="37"/>
      <c r="AK31" s="37"/>
      <c r="AL31" s="37"/>
      <c r="AM31" s="37"/>
      <c r="AN31" s="37"/>
      <c r="AO31" s="37"/>
      <c r="AP31" s="37"/>
      <c r="AQ31" s="37"/>
      <c r="AR31" s="37"/>
      <c r="AS31" s="37"/>
      <c r="AT31" s="37"/>
      <c r="AU31" s="37"/>
      <c r="AV31" s="37"/>
      <c r="AW31" s="37"/>
      <c r="AX31" s="37"/>
      <c r="AY31" s="37"/>
      <c r="AZ31" s="37"/>
      <c r="BA31" s="37"/>
      <c r="BB31" s="37"/>
      <c r="BC31" s="37"/>
      <c r="BD31" s="37"/>
      <c r="BE31" s="37"/>
      <c r="BF31" s="37"/>
      <c r="BG31" s="37"/>
      <c r="BH31" s="37"/>
      <c r="BI31" s="37"/>
      <c r="BJ31" s="37"/>
    </row>
    <row r="32" spans="1:62" x14ac:dyDescent="0.3">
      <c r="A32" s="37"/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  <c r="AA32" s="37"/>
      <c r="AB32" s="37"/>
      <c r="AC32" s="37"/>
      <c r="AD32" s="37"/>
      <c r="AE32" s="37"/>
      <c r="AF32" s="37"/>
      <c r="AG32" s="37"/>
      <c r="AH32" s="37"/>
      <c r="AI32" s="37"/>
      <c r="AJ32" s="37"/>
      <c r="AK32" s="37"/>
      <c r="AL32" s="37"/>
      <c r="AM32" s="37"/>
      <c r="AN32" s="37"/>
      <c r="AO32" s="37"/>
      <c r="AP32" s="37"/>
      <c r="AQ32" s="37"/>
      <c r="AR32" s="37"/>
      <c r="AS32" s="37"/>
      <c r="AT32" s="37"/>
      <c r="AU32" s="37"/>
      <c r="AV32" s="37"/>
      <c r="AW32" s="37"/>
      <c r="AX32" s="37"/>
      <c r="AY32" s="37"/>
      <c r="AZ32" s="37"/>
      <c r="BA32" s="37"/>
      <c r="BB32" s="37"/>
      <c r="BC32" s="37"/>
      <c r="BD32" s="37"/>
      <c r="BE32" s="37"/>
      <c r="BF32" s="37"/>
      <c r="BG32" s="37"/>
      <c r="BH32" s="37"/>
      <c r="BI32" s="37"/>
      <c r="BJ32" s="37"/>
    </row>
    <row r="33" spans="1:62" x14ac:dyDescent="0.3">
      <c r="A33" s="37"/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  <c r="AA33" s="37"/>
      <c r="AB33" s="37"/>
      <c r="AC33" s="37"/>
      <c r="AD33" s="37"/>
      <c r="AE33" s="37"/>
      <c r="AF33" s="37"/>
      <c r="AG33" s="37"/>
      <c r="AH33" s="37"/>
      <c r="AI33" s="37"/>
      <c r="AJ33" s="37"/>
      <c r="AK33" s="37"/>
      <c r="AL33" s="37"/>
      <c r="AM33" s="37"/>
      <c r="AN33" s="37"/>
      <c r="AO33" s="37"/>
      <c r="AP33" s="37"/>
      <c r="AQ33" s="37"/>
      <c r="AR33" s="37"/>
      <c r="AS33" s="37"/>
      <c r="AT33" s="37"/>
      <c r="AU33" s="37"/>
      <c r="AV33" s="37"/>
      <c r="AW33" s="37"/>
      <c r="AX33" s="37"/>
      <c r="AY33" s="37"/>
      <c r="AZ33" s="37"/>
      <c r="BA33" s="37"/>
      <c r="BB33" s="37"/>
      <c r="BC33" s="37"/>
      <c r="BD33" s="37"/>
      <c r="BE33" s="37"/>
      <c r="BF33" s="37"/>
      <c r="BG33" s="37"/>
      <c r="BH33" s="37"/>
      <c r="BI33" s="37"/>
      <c r="BJ33" s="37"/>
    </row>
    <row r="34" spans="1:62" x14ac:dyDescent="0.3">
      <c r="A34" s="37"/>
      <c r="B34" s="37"/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  <c r="AA34" s="37"/>
      <c r="AB34" s="37"/>
      <c r="AC34" s="37"/>
      <c r="AD34" s="37"/>
      <c r="AE34" s="37"/>
      <c r="AF34" s="37"/>
      <c r="AG34" s="37"/>
      <c r="AH34" s="37"/>
      <c r="AI34" s="37"/>
      <c r="AJ34" s="37"/>
      <c r="AK34" s="37"/>
      <c r="AL34" s="37"/>
      <c r="AM34" s="37"/>
      <c r="AN34" s="37"/>
      <c r="AO34" s="37"/>
      <c r="AP34" s="37"/>
      <c r="AQ34" s="37"/>
      <c r="AR34" s="37"/>
      <c r="AS34" s="37"/>
      <c r="AT34" s="37"/>
      <c r="AU34" s="37"/>
      <c r="AV34" s="37"/>
      <c r="AW34" s="37"/>
      <c r="AX34" s="37"/>
      <c r="AY34" s="37"/>
      <c r="AZ34" s="37"/>
      <c r="BA34" s="37"/>
      <c r="BB34" s="37"/>
      <c r="BC34" s="37"/>
      <c r="BD34" s="37"/>
      <c r="BE34" s="37"/>
      <c r="BF34" s="37"/>
      <c r="BG34" s="37"/>
      <c r="BH34" s="37"/>
      <c r="BI34" s="37"/>
      <c r="BJ34" s="37"/>
    </row>
    <row r="35" spans="1:62" x14ac:dyDescent="0.3">
      <c r="A35" s="37"/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  <c r="AA35" s="37"/>
      <c r="AB35" s="37"/>
      <c r="AC35" s="37"/>
      <c r="AD35" s="37"/>
      <c r="AE35" s="37"/>
      <c r="AF35" s="37"/>
      <c r="AG35" s="37"/>
      <c r="AH35" s="37"/>
      <c r="AI35" s="37"/>
      <c r="AJ35" s="37"/>
      <c r="AK35" s="37"/>
      <c r="AL35" s="37"/>
      <c r="AM35" s="37"/>
      <c r="AN35" s="37"/>
      <c r="AO35" s="37"/>
      <c r="AP35" s="37"/>
      <c r="AQ35" s="37"/>
      <c r="AR35" s="37"/>
      <c r="AS35" s="37"/>
      <c r="AT35" s="37"/>
      <c r="AU35" s="37"/>
      <c r="AV35" s="37"/>
      <c r="AW35" s="37"/>
      <c r="AX35" s="37"/>
      <c r="AY35" s="37"/>
      <c r="AZ35" s="37"/>
      <c r="BA35" s="37"/>
      <c r="BB35" s="37"/>
      <c r="BC35" s="37"/>
      <c r="BD35" s="37"/>
      <c r="BE35" s="37"/>
      <c r="BF35" s="37"/>
      <c r="BG35" s="37"/>
      <c r="BH35" s="37"/>
      <c r="BI35" s="37"/>
      <c r="BJ35" s="37"/>
    </row>
    <row r="36" spans="1:62" x14ac:dyDescent="0.3">
      <c r="A36" s="37"/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  <c r="AA36" s="37"/>
      <c r="AB36" s="37"/>
      <c r="AC36" s="37"/>
      <c r="AD36" s="37"/>
      <c r="AE36" s="37"/>
      <c r="AF36" s="37"/>
      <c r="AG36" s="37"/>
      <c r="AH36" s="37"/>
      <c r="AI36" s="37"/>
      <c r="AJ36" s="37"/>
      <c r="AK36" s="37"/>
      <c r="AL36" s="37"/>
      <c r="AM36" s="37"/>
      <c r="AN36" s="37"/>
      <c r="AO36" s="37"/>
      <c r="AP36" s="37"/>
      <c r="AQ36" s="37"/>
      <c r="AR36" s="37"/>
      <c r="AS36" s="37"/>
      <c r="AT36" s="37"/>
      <c r="AU36" s="37"/>
      <c r="AV36" s="37"/>
      <c r="AW36" s="37"/>
      <c r="AX36" s="37"/>
      <c r="AY36" s="37"/>
      <c r="AZ36" s="37"/>
      <c r="BA36" s="37"/>
      <c r="BB36" s="37"/>
      <c r="BC36" s="37"/>
      <c r="BD36" s="37"/>
      <c r="BE36" s="37"/>
      <c r="BF36" s="37"/>
      <c r="BG36" s="37"/>
      <c r="BH36" s="37"/>
      <c r="BI36" s="37"/>
      <c r="BJ36" s="37"/>
    </row>
    <row r="37" spans="1:62" x14ac:dyDescent="0.3">
      <c r="A37" s="37"/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37"/>
      <c r="AB37" s="37"/>
      <c r="AC37" s="37"/>
      <c r="AD37" s="37"/>
      <c r="AE37" s="37"/>
      <c r="AF37" s="37"/>
      <c r="AG37" s="37"/>
      <c r="AH37" s="37"/>
      <c r="AI37" s="37"/>
      <c r="AJ37" s="37"/>
      <c r="AK37" s="37"/>
      <c r="AL37" s="37"/>
      <c r="AM37" s="37"/>
      <c r="AN37" s="37"/>
      <c r="AO37" s="37"/>
      <c r="AP37" s="37"/>
      <c r="AQ37" s="37"/>
      <c r="AR37" s="37"/>
      <c r="AS37" s="37"/>
      <c r="AT37" s="37"/>
      <c r="AU37" s="37"/>
      <c r="AV37" s="37"/>
      <c r="AW37" s="37"/>
      <c r="AX37" s="37"/>
      <c r="AY37" s="37"/>
      <c r="AZ37" s="37"/>
      <c r="BA37" s="37"/>
      <c r="BB37" s="37"/>
      <c r="BC37" s="37"/>
      <c r="BD37" s="37"/>
      <c r="BE37" s="37"/>
      <c r="BF37" s="37"/>
      <c r="BG37" s="37"/>
      <c r="BH37" s="37"/>
      <c r="BI37" s="37"/>
      <c r="BJ37" s="37"/>
    </row>
    <row r="38" spans="1:62" x14ac:dyDescent="0.3">
      <c r="A38" s="37"/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  <c r="AA38" s="37"/>
      <c r="AB38" s="37"/>
      <c r="AC38" s="37"/>
      <c r="AD38" s="37"/>
      <c r="AE38" s="37"/>
      <c r="AF38" s="37"/>
      <c r="AG38" s="37"/>
      <c r="AH38" s="37"/>
      <c r="AI38" s="37"/>
      <c r="AJ38" s="37"/>
      <c r="AK38" s="37"/>
      <c r="AL38" s="37"/>
      <c r="AM38" s="37"/>
      <c r="AN38" s="37"/>
      <c r="AO38" s="37"/>
      <c r="AP38" s="37"/>
      <c r="AQ38" s="37"/>
      <c r="AR38" s="37"/>
      <c r="AS38" s="37"/>
      <c r="AT38" s="37"/>
      <c r="AU38" s="37"/>
      <c r="AV38" s="37"/>
      <c r="AW38" s="37"/>
      <c r="AX38" s="37"/>
      <c r="AY38" s="37"/>
      <c r="AZ38" s="37"/>
      <c r="BA38" s="37"/>
      <c r="BB38" s="37"/>
      <c r="BC38" s="37"/>
      <c r="BD38" s="37"/>
      <c r="BE38" s="37"/>
      <c r="BF38" s="37"/>
      <c r="BG38" s="37"/>
      <c r="BH38" s="37"/>
      <c r="BI38" s="37"/>
      <c r="BJ38" s="37"/>
    </row>
    <row r="39" spans="1:62" x14ac:dyDescent="0.3">
      <c r="A39" s="37"/>
      <c r="B39" s="37"/>
      <c r="C39" s="37"/>
      <c r="D39" s="37"/>
      <c r="E39" s="37"/>
      <c r="F39" s="37"/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  <c r="AA39" s="37"/>
      <c r="AB39" s="37"/>
      <c r="AC39" s="37"/>
      <c r="AD39" s="37"/>
      <c r="AE39" s="37"/>
      <c r="AF39" s="37"/>
      <c r="AG39" s="37"/>
      <c r="AH39" s="37"/>
      <c r="AI39" s="37"/>
      <c r="AJ39" s="37"/>
      <c r="AK39" s="37"/>
      <c r="AL39" s="37"/>
      <c r="AM39" s="37"/>
      <c r="AN39" s="37"/>
      <c r="AO39" s="37"/>
      <c r="AP39" s="37"/>
      <c r="AQ39" s="37"/>
      <c r="AR39" s="37"/>
      <c r="AS39" s="37"/>
      <c r="AT39" s="37"/>
      <c r="AU39" s="37"/>
      <c r="AV39" s="37"/>
      <c r="AW39" s="37"/>
      <c r="AX39" s="37"/>
      <c r="AY39" s="37"/>
      <c r="AZ39" s="37"/>
      <c r="BA39" s="37"/>
      <c r="BB39" s="37"/>
      <c r="BC39" s="37"/>
      <c r="BD39" s="37"/>
      <c r="BE39" s="37"/>
      <c r="BF39" s="37"/>
      <c r="BG39" s="37"/>
      <c r="BH39" s="37"/>
      <c r="BI39" s="37"/>
      <c r="BJ39" s="37"/>
    </row>
    <row r="40" spans="1:62" x14ac:dyDescent="0.3">
      <c r="A40" s="37"/>
      <c r="B40" s="37"/>
      <c r="C40" s="37"/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  <c r="AA40" s="37"/>
      <c r="AB40" s="37"/>
      <c r="AC40" s="37"/>
      <c r="AD40" s="37"/>
      <c r="AE40" s="37"/>
      <c r="AF40" s="37"/>
      <c r="AG40" s="37"/>
      <c r="AH40" s="37"/>
      <c r="AI40" s="37"/>
      <c r="AJ40" s="37"/>
      <c r="AK40" s="37"/>
      <c r="AL40" s="37"/>
      <c r="AM40" s="37"/>
      <c r="AN40" s="37"/>
      <c r="AO40" s="37"/>
      <c r="AP40" s="37"/>
      <c r="AQ40" s="37"/>
      <c r="AR40" s="37"/>
      <c r="AS40" s="37"/>
      <c r="AT40" s="37"/>
      <c r="AU40" s="37"/>
      <c r="AV40" s="37"/>
      <c r="AW40" s="37"/>
      <c r="AX40" s="37"/>
      <c r="AY40" s="37"/>
      <c r="AZ40" s="37"/>
      <c r="BA40" s="37"/>
      <c r="BB40" s="37"/>
      <c r="BC40" s="37"/>
      <c r="BD40" s="37"/>
      <c r="BE40" s="37"/>
      <c r="BF40" s="37"/>
      <c r="BG40" s="37"/>
      <c r="BH40" s="37"/>
      <c r="BI40" s="37"/>
      <c r="BJ40" s="37"/>
    </row>
    <row r="41" spans="1:62" x14ac:dyDescent="0.3">
      <c r="A41" s="37"/>
      <c r="B41" s="37"/>
      <c r="C41" s="37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  <c r="AA41" s="37"/>
      <c r="AB41" s="37"/>
      <c r="AC41" s="37"/>
      <c r="AD41" s="37"/>
      <c r="AE41" s="37"/>
      <c r="AF41" s="37"/>
      <c r="AG41" s="37"/>
      <c r="AH41" s="37"/>
      <c r="AI41" s="37"/>
      <c r="AJ41" s="37"/>
      <c r="AK41" s="37"/>
      <c r="AL41" s="37"/>
      <c r="AM41" s="37"/>
      <c r="AN41" s="37"/>
      <c r="AO41" s="37"/>
      <c r="AP41" s="37"/>
      <c r="AQ41" s="37"/>
      <c r="AR41" s="37"/>
      <c r="AS41" s="37"/>
      <c r="AT41" s="37"/>
      <c r="AU41" s="37"/>
      <c r="AV41" s="37"/>
      <c r="AW41" s="37"/>
      <c r="AX41" s="37"/>
      <c r="AY41" s="37"/>
      <c r="AZ41" s="37"/>
      <c r="BA41" s="37"/>
      <c r="BB41" s="37"/>
      <c r="BC41" s="37"/>
      <c r="BD41" s="37"/>
      <c r="BE41" s="37"/>
      <c r="BF41" s="37"/>
      <c r="BG41" s="37"/>
      <c r="BH41" s="37"/>
      <c r="BI41" s="37"/>
      <c r="BJ41" s="37"/>
    </row>
    <row r="42" spans="1:62" x14ac:dyDescent="0.3">
      <c r="A42" s="37"/>
      <c r="B42" s="37"/>
      <c r="C42" s="37"/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  <c r="AA42" s="37"/>
      <c r="AB42" s="37"/>
      <c r="AC42" s="37"/>
      <c r="AD42" s="37"/>
      <c r="AE42" s="37"/>
      <c r="AF42" s="37"/>
      <c r="AG42" s="37"/>
      <c r="AH42" s="37"/>
      <c r="AI42" s="37"/>
      <c r="AJ42" s="37"/>
      <c r="AK42" s="37"/>
      <c r="AL42" s="37"/>
      <c r="AM42" s="37"/>
      <c r="AN42" s="37"/>
      <c r="AO42" s="37"/>
      <c r="AP42" s="37"/>
      <c r="AQ42" s="37"/>
      <c r="AR42" s="37"/>
      <c r="AS42" s="37"/>
      <c r="AT42" s="37"/>
      <c r="AU42" s="37"/>
      <c r="AV42" s="37"/>
      <c r="AW42" s="37"/>
      <c r="AX42" s="37"/>
      <c r="AY42" s="37"/>
      <c r="AZ42" s="37"/>
      <c r="BA42" s="37"/>
      <c r="BB42" s="37"/>
      <c r="BC42" s="37"/>
      <c r="BD42" s="37"/>
      <c r="BE42" s="37"/>
      <c r="BF42" s="37"/>
      <c r="BG42" s="37"/>
      <c r="BH42" s="37"/>
      <c r="BI42" s="37"/>
      <c r="BJ42" s="37"/>
    </row>
    <row r="43" spans="1:62" x14ac:dyDescent="0.3">
      <c r="A43" s="37"/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  <c r="AA43" s="37"/>
      <c r="AB43" s="37"/>
      <c r="AC43" s="37"/>
      <c r="AD43" s="37"/>
      <c r="AE43" s="37"/>
      <c r="AF43" s="37"/>
      <c r="AG43" s="37"/>
      <c r="AH43" s="37"/>
      <c r="AI43" s="37"/>
      <c r="AJ43" s="37"/>
      <c r="AK43" s="37"/>
      <c r="AL43" s="37"/>
      <c r="AM43" s="37"/>
      <c r="AN43" s="37"/>
      <c r="AO43" s="37"/>
      <c r="AP43" s="37"/>
      <c r="AQ43" s="37"/>
      <c r="AR43" s="37"/>
      <c r="AS43" s="37"/>
      <c r="AT43" s="37"/>
      <c r="AU43" s="37"/>
      <c r="AV43" s="37"/>
      <c r="AW43" s="37"/>
      <c r="AX43" s="37"/>
      <c r="AY43" s="37"/>
      <c r="AZ43" s="37"/>
      <c r="BA43" s="37"/>
      <c r="BB43" s="37"/>
      <c r="BC43" s="37"/>
      <c r="BD43" s="37"/>
      <c r="BE43" s="37"/>
      <c r="BF43" s="37"/>
      <c r="BG43" s="37"/>
      <c r="BH43" s="37"/>
      <c r="BI43" s="37"/>
      <c r="BJ43" s="37"/>
    </row>
    <row r="44" spans="1:62" x14ac:dyDescent="0.3">
      <c r="A44" s="37"/>
      <c r="B44" s="37"/>
      <c r="C44" s="37"/>
      <c r="D44" s="37"/>
      <c r="E44" s="37"/>
      <c r="F44" s="37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  <c r="AA44" s="37"/>
      <c r="AB44" s="37"/>
      <c r="AC44" s="37"/>
      <c r="AD44" s="37"/>
      <c r="AE44" s="37"/>
      <c r="AF44" s="37"/>
      <c r="AG44" s="37"/>
      <c r="AH44" s="37"/>
      <c r="AI44" s="37"/>
      <c r="AJ44" s="37"/>
      <c r="AK44" s="37"/>
      <c r="AL44" s="37"/>
      <c r="AM44" s="37"/>
      <c r="AN44" s="37"/>
      <c r="AO44" s="37"/>
      <c r="AP44" s="37"/>
      <c r="AQ44" s="37"/>
      <c r="AR44" s="37"/>
      <c r="AS44" s="37"/>
      <c r="AT44" s="37"/>
      <c r="AU44" s="37"/>
      <c r="AV44" s="37"/>
      <c r="AW44" s="37"/>
      <c r="AX44" s="37"/>
      <c r="AY44" s="37"/>
      <c r="AZ44" s="37"/>
      <c r="BA44" s="37"/>
      <c r="BB44" s="37"/>
      <c r="BC44" s="37"/>
      <c r="BD44" s="37"/>
      <c r="BE44" s="37"/>
      <c r="BF44" s="37"/>
      <c r="BG44" s="37"/>
      <c r="BH44" s="37"/>
      <c r="BI44" s="37"/>
      <c r="BJ44" s="37"/>
    </row>
    <row r="45" spans="1:62" x14ac:dyDescent="0.3">
      <c r="A45" s="37"/>
      <c r="B45" s="37"/>
      <c r="C45" s="37"/>
      <c r="E45" s="37"/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  <c r="AA45" s="37"/>
      <c r="AB45" s="37"/>
      <c r="AC45" s="37"/>
      <c r="AD45" s="37"/>
      <c r="AE45" s="37"/>
      <c r="AF45" s="37"/>
      <c r="AG45" s="37"/>
      <c r="AH45" s="37"/>
      <c r="AI45" s="37"/>
      <c r="AJ45" s="37"/>
      <c r="AK45" s="37"/>
      <c r="AL45" s="37"/>
      <c r="AM45" s="37"/>
      <c r="AN45" s="37"/>
      <c r="AO45" s="37"/>
      <c r="AP45" s="37"/>
      <c r="AQ45" s="37"/>
      <c r="AR45" s="37"/>
      <c r="AS45" s="37"/>
      <c r="AT45" s="37"/>
      <c r="AU45" s="37"/>
      <c r="AV45" s="37"/>
      <c r="AW45" s="37"/>
      <c r="AX45" s="37"/>
      <c r="AY45" s="37"/>
      <c r="AZ45" s="37"/>
      <c r="BA45" s="37"/>
      <c r="BB45" s="37"/>
      <c r="BC45" s="37"/>
      <c r="BD45" s="37"/>
      <c r="BE45" s="37"/>
      <c r="BF45" s="37"/>
      <c r="BG45" s="37"/>
      <c r="BH45" s="37"/>
      <c r="BI45" s="37"/>
      <c r="BJ45" s="37"/>
    </row>
    <row r="46" spans="1:62" x14ac:dyDescent="0.3">
      <c r="A46" s="37"/>
      <c r="B46" s="37"/>
      <c r="C46" s="37"/>
      <c r="D46" s="37"/>
      <c r="E46" s="37"/>
      <c r="F46" s="37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  <c r="AA46" s="37"/>
      <c r="AB46" s="37"/>
      <c r="AC46" s="37"/>
      <c r="AD46" s="37"/>
      <c r="AE46" s="37"/>
      <c r="AF46" s="37"/>
      <c r="AG46" s="37"/>
      <c r="AH46" s="37"/>
      <c r="AI46" s="37"/>
      <c r="AJ46" s="37"/>
      <c r="AK46" s="37"/>
      <c r="AL46" s="37"/>
      <c r="AM46" s="37"/>
      <c r="AN46" s="37"/>
      <c r="AO46" s="37"/>
      <c r="AP46" s="37"/>
      <c r="AQ46" s="37"/>
      <c r="AR46" s="37"/>
      <c r="AS46" s="37"/>
      <c r="AT46" s="37"/>
      <c r="AU46" s="37"/>
      <c r="AV46" s="37"/>
      <c r="AW46" s="37"/>
      <c r="AX46" s="37"/>
      <c r="AY46" s="37"/>
      <c r="AZ46" s="37"/>
      <c r="BA46" s="37"/>
      <c r="BB46" s="37"/>
      <c r="BC46" s="37"/>
      <c r="BD46" s="37"/>
      <c r="BE46" s="37"/>
      <c r="BF46" s="37"/>
      <c r="BG46" s="37"/>
      <c r="BH46" s="37"/>
      <c r="BI46" s="37"/>
      <c r="BJ46" s="37"/>
    </row>
    <row r="47" spans="1:62" x14ac:dyDescent="0.3">
      <c r="A47" s="37"/>
      <c r="B47" s="37"/>
      <c r="C47" s="37"/>
      <c r="D47" s="37"/>
      <c r="E47" s="37"/>
      <c r="F47" s="37"/>
      <c r="G47" s="37"/>
      <c r="H47" s="37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  <c r="AA47" s="37"/>
      <c r="AB47" s="37"/>
      <c r="AC47" s="37"/>
      <c r="AD47" s="37"/>
      <c r="AE47" s="37"/>
      <c r="AF47" s="37"/>
      <c r="AG47" s="37"/>
      <c r="AH47" s="37"/>
      <c r="AI47" s="37"/>
      <c r="AJ47" s="37"/>
      <c r="AK47" s="37"/>
      <c r="AL47" s="37"/>
      <c r="AM47" s="37"/>
      <c r="AN47" s="37"/>
      <c r="AO47" s="37"/>
      <c r="AP47" s="37"/>
      <c r="AQ47" s="37"/>
      <c r="AR47" s="37"/>
      <c r="AS47" s="37"/>
      <c r="AT47" s="37"/>
      <c r="AU47" s="37"/>
      <c r="AV47" s="37"/>
      <c r="AW47" s="37"/>
      <c r="AX47" s="37"/>
      <c r="AY47" s="37"/>
      <c r="AZ47" s="37"/>
      <c r="BA47" s="37"/>
      <c r="BB47" s="37"/>
      <c r="BC47" s="37"/>
      <c r="BD47" s="37"/>
      <c r="BE47" s="37"/>
      <c r="BF47" s="37"/>
      <c r="BG47" s="37"/>
      <c r="BH47" s="37"/>
      <c r="BI47" s="37"/>
      <c r="BJ47" s="37"/>
    </row>
    <row r="48" spans="1:62" x14ac:dyDescent="0.3">
      <c r="A48" s="37"/>
      <c r="B48" s="37"/>
      <c r="C48" s="37"/>
      <c r="D48" s="37"/>
      <c r="E48" s="37"/>
      <c r="F48" s="37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  <c r="AA48" s="37"/>
      <c r="AB48" s="37"/>
      <c r="AC48" s="37"/>
      <c r="AD48" s="37"/>
      <c r="AE48" s="37"/>
      <c r="AF48" s="37"/>
      <c r="AG48" s="37"/>
      <c r="AH48" s="37"/>
      <c r="AI48" s="37"/>
      <c r="AJ48" s="37"/>
      <c r="AK48" s="37"/>
      <c r="AL48" s="37"/>
      <c r="AM48" s="37"/>
      <c r="AN48" s="37"/>
      <c r="AO48" s="37"/>
      <c r="AP48" s="37"/>
      <c r="AQ48" s="37"/>
      <c r="AR48" s="37"/>
      <c r="AS48" s="37"/>
      <c r="AT48" s="37"/>
      <c r="AU48" s="37"/>
      <c r="AV48" s="37"/>
      <c r="AW48" s="37"/>
      <c r="AX48" s="37"/>
      <c r="AY48" s="37"/>
      <c r="AZ48" s="37"/>
      <c r="BA48" s="37"/>
      <c r="BB48" s="37"/>
      <c r="BC48" s="37"/>
      <c r="BD48" s="37"/>
      <c r="BE48" s="37"/>
      <c r="BF48" s="37"/>
      <c r="BG48" s="37"/>
      <c r="BH48" s="37"/>
      <c r="BI48" s="37"/>
      <c r="BJ48" s="37"/>
    </row>
    <row r="49" spans="1:4" x14ac:dyDescent="0.3">
      <c r="A49" s="37"/>
      <c r="B49" s="37"/>
      <c r="C49" s="37"/>
      <c r="D49" s="37"/>
    </row>
  </sheetData>
  <mergeCells count="1">
    <mergeCell ref="F5:H5"/>
  </mergeCells>
  <conditionalFormatting sqref="J7:AM26">
    <cfRule type="containsText" dxfId="215" priority="1" operator="containsText" text="P">
      <formula>NOT(ISERROR(SEARCH("P",J7)))</formula>
    </cfRule>
    <cfRule type="containsText" dxfId="214" priority="2" operator="containsText" text="L">
      <formula>NOT(ISERROR(SEARCH("L",J7)))</formula>
    </cfRule>
    <cfRule type="containsText" dxfId="213" priority="3" operator="containsText" text="A">
      <formula>NOT(ISERROR(SEARCH("A",J7)))</formula>
    </cfRule>
    <cfRule type="containsText" dxfId="212" priority="4" operator="containsText" text="WO">
      <formula>NOT(ISERROR(SEARCH("WO",J7)))</formula>
    </cfRule>
    <cfRule type="containsText" dxfId="211" priority="5" operator="containsText" text="WO">
      <formula>NOT(ISERROR(SEARCH("WO",J7)))</formula>
    </cfRule>
  </conditionalFormatting>
  <dataValidations count="2">
    <dataValidation type="list" allowBlank="1" showInputMessage="1" showErrorMessage="1" sqref="J7:N26 P7:U26 W7:AB26 AD7:AI26 AK7:AM26">
      <formula1>"P,A,L"</formula1>
    </dataValidation>
    <dataValidation type="list" allowBlank="1" showInputMessage="1" showErrorMessage="1" sqref="H4">
      <formula1>#REF!</formula1>
    </dataValidation>
  </dataValidations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APR!AS7:AV7</xm:f>
              <xm:sqref>BC7</xm:sqref>
            </x14:sparkline>
            <x14:sparkline>
              <xm:f>APR!AS8:AV8</xm:f>
              <xm:sqref>BC8</xm:sqref>
            </x14:sparkline>
            <x14:sparkline>
              <xm:f>APR!AS9:AV9</xm:f>
              <xm:sqref>BC9</xm:sqref>
            </x14:sparkline>
            <x14:sparkline>
              <xm:f>APR!AS10:AV10</xm:f>
              <xm:sqref>BC10</xm:sqref>
            </x14:sparkline>
            <x14:sparkline>
              <xm:f>APR!AS11:AV11</xm:f>
              <xm:sqref>BC11</xm:sqref>
            </x14:sparkline>
            <x14:sparkline>
              <xm:f>APR!AS12:AV12</xm:f>
              <xm:sqref>BC12</xm:sqref>
            </x14:sparkline>
            <x14:sparkline>
              <xm:f>APR!AS13:AV13</xm:f>
              <xm:sqref>BC13</xm:sqref>
            </x14:sparkline>
            <x14:sparkline>
              <xm:f>APR!AS14:AV14</xm:f>
              <xm:sqref>BC14</xm:sqref>
            </x14:sparkline>
            <x14:sparkline>
              <xm:f>APR!AS15:AV15</xm:f>
              <xm:sqref>BC15</xm:sqref>
            </x14:sparkline>
            <x14:sparkline>
              <xm:f>APR!AS16:AV16</xm:f>
              <xm:sqref>BC16</xm:sqref>
            </x14:sparkline>
            <x14:sparkline>
              <xm:f>APR!AS17:AV17</xm:f>
              <xm:sqref>BC17</xm:sqref>
            </x14:sparkline>
            <x14:sparkline>
              <xm:f>APR!AS18:AV18</xm:f>
              <xm:sqref>BC18</xm:sqref>
            </x14:sparkline>
            <x14:sparkline>
              <xm:f>APR!AS19:AV19</xm:f>
              <xm:sqref>BC19</xm:sqref>
            </x14:sparkline>
            <x14:sparkline>
              <xm:f>APR!AS20:AV20</xm:f>
              <xm:sqref>BC20</xm:sqref>
            </x14:sparkline>
            <x14:sparkline>
              <xm:f>APR!AS21:AV21</xm:f>
              <xm:sqref>BC21</xm:sqref>
            </x14:sparkline>
            <x14:sparkline>
              <xm:f>APR!AS22:AV22</xm:f>
              <xm:sqref>BC22</xm:sqref>
            </x14:sparkline>
            <x14:sparkline>
              <xm:f>APR!AS23:AV23</xm:f>
              <xm:sqref>BC23</xm:sqref>
            </x14:sparkline>
            <x14:sparkline>
              <xm:f>APR!AS24:AV24</xm:f>
              <xm:sqref>BC24</xm:sqref>
            </x14:sparkline>
            <x14:sparkline>
              <xm:f>APR!AS25:AV25</xm:f>
              <xm:sqref>BC25</xm:sqref>
            </x14:sparkline>
            <x14:sparkline>
              <xm:f>APR!AS26:AV26</xm:f>
              <xm:sqref>BC26</xm:sqref>
            </x14:sparkline>
          </x14:sparklines>
        </x14:sparklineGroup>
      </x14:sparklineGroup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49"/>
  <sheetViews>
    <sheetView zoomScaleNormal="100" workbookViewId="0"/>
  </sheetViews>
  <sheetFormatPr defaultColWidth="9.109375" defaultRowHeight="14.4" x14ac:dyDescent="0.3"/>
  <cols>
    <col min="1" max="6" width="9.109375" style="7"/>
    <col min="7" max="7" width="11.6640625" style="7" bestFit="1" customWidth="1"/>
    <col min="8" max="8" width="20.44140625" style="7" bestFit="1" customWidth="1"/>
    <col min="9" max="9" width="9.109375" style="7"/>
    <col min="10" max="10" width="5.33203125" style="7" bestFit="1" customWidth="1"/>
    <col min="11" max="11" width="6" style="7" customWidth="1"/>
    <col min="12" max="12" width="5" style="7" bestFit="1" customWidth="1"/>
    <col min="13" max="14" width="4.33203125" style="7" bestFit="1" customWidth="1"/>
    <col min="15" max="15" width="6.5546875" style="7" customWidth="1"/>
    <col min="16" max="16" width="4.33203125" style="7" bestFit="1" customWidth="1"/>
    <col min="17" max="17" width="5.109375" style="7" bestFit="1" customWidth="1"/>
    <col min="18" max="18" width="4.33203125" style="7" bestFit="1" customWidth="1"/>
    <col min="19" max="19" width="5" style="7" bestFit="1" customWidth="1"/>
    <col min="20" max="20" width="4.33203125" style="7" bestFit="1" customWidth="1"/>
    <col min="21" max="21" width="5.109375" style="7" bestFit="1" customWidth="1"/>
    <col min="22" max="22" width="5" style="7" bestFit="1" customWidth="1"/>
    <col min="23" max="23" width="4.33203125" style="7" bestFit="1" customWidth="1"/>
    <col min="24" max="24" width="5.109375" style="7" bestFit="1" customWidth="1"/>
    <col min="25" max="25" width="4.33203125" style="7" bestFit="1" customWidth="1"/>
    <col min="26" max="26" width="5" style="7" bestFit="1" customWidth="1"/>
    <col min="27" max="27" width="4.33203125" style="7" bestFit="1" customWidth="1"/>
    <col min="28" max="28" width="5.109375" style="7" bestFit="1" customWidth="1"/>
    <col min="29" max="29" width="5" style="7" bestFit="1" customWidth="1"/>
    <col min="30" max="30" width="4.33203125" style="7" bestFit="1" customWidth="1"/>
    <col min="31" max="31" width="5.109375" style="7" bestFit="1" customWidth="1"/>
    <col min="32" max="32" width="4.33203125" style="7" bestFit="1" customWidth="1"/>
    <col min="33" max="33" width="5" style="7" bestFit="1" customWidth="1"/>
    <col min="34" max="34" width="4.33203125" style="7" bestFit="1" customWidth="1"/>
    <col min="35" max="35" width="5.109375" style="7" bestFit="1" customWidth="1"/>
    <col min="36" max="37" width="4.33203125" style="7" bestFit="1" customWidth="1"/>
    <col min="38" max="38" width="5.109375" style="7" bestFit="1" customWidth="1"/>
    <col min="39" max="39" width="4.33203125" style="7" bestFit="1" customWidth="1"/>
    <col min="40" max="40" width="5.33203125" style="7" bestFit="1" customWidth="1"/>
    <col min="41" max="41" width="9.109375" style="7"/>
    <col min="42" max="42" width="9.33203125" style="7" bestFit="1" customWidth="1"/>
    <col min="43" max="44" width="14.33203125" style="7" customWidth="1"/>
    <col min="45" max="45" width="18" style="7" customWidth="1"/>
    <col min="46" max="46" width="10.5546875" style="7" customWidth="1"/>
    <col min="47" max="47" width="9.88671875" style="7" customWidth="1"/>
    <col min="48" max="48" width="9.33203125" style="7" bestFit="1" customWidth="1"/>
    <col min="49" max="49" width="12.109375" style="7" customWidth="1"/>
    <col min="50" max="50" width="9.33203125" style="7" bestFit="1" customWidth="1"/>
    <col min="51" max="51" width="11.88671875" style="7" customWidth="1"/>
    <col min="52" max="52" width="14.33203125" style="7" bestFit="1" customWidth="1"/>
    <col min="53" max="53" width="15.44140625" style="7" customWidth="1"/>
    <col min="54" max="54" width="12.88671875" style="7" customWidth="1"/>
    <col min="55" max="55" width="14.5546875" style="7" bestFit="1" customWidth="1"/>
    <col min="56" max="56" width="13.5546875" style="7" customWidth="1"/>
    <col min="57" max="16384" width="9.109375" style="7"/>
  </cols>
  <sheetData>
    <row r="1" spans="4:68" x14ac:dyDescent="0.3">
      <c r="AO1" s="37"/>
      <c r="BE1" s="37"/>
      <c r="BF1" s="37"/>
      <c r="BG1" s="37"/>
      <c r="BH1" s="37"/>
      <c r="BI1" s="37"/>
      <c r="BJ1" s="37"/>
      <c r="BK1" s="37"/>
    </row>
    <row r="2" spans="4:68" x14ac:dyDescent="0.3">
      <c r="AO2" s="37"/>
      <c r="BE2" s="37"/>
      <c r="BF2" s="37"/>
      <c r="BG2" s="37"/>
      <c r="BH2" s="37"/>
      <c r="BI2" s="37"/>
      <c r="BJ2" s="37"/>
      <c r="BK2" s="37"/>
    </row>
    <row r="3" spans="4:68" x14ac:dyDescent="0.3"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  <c r="AA3" s="37"/>
      <c r="AB3" s="37"/>
      <c r="AC3" s="37"/>
      <c r="AD3" s="37"/>
      <c r="AE3" s="37"/>
      <c r="AF3" s="37"/>
      <c r="AG3" s="37"/>
      <c r="AH3" s="37"/>
      <c r="AI3" s="37"/>
      <c r="AJ3" s="37"/>
      <c r="AK3" s="37"/>
      <c r="AL3" s="37"/>
      <c r="AM3" s="37"/>
      <c r="AN3" s="37"/>
      <c r="AO3" s="37"/>
      <c r="AP3" s="37"/>
      <c r="AQ3" s="37"/>
      <c r="AR3" s="37"/>
      <c r="AS3" s="37"/>
      <c r="AT3" s="37"/>
      <c r="AU3" s="37"/>
      <c r="AV3" s="37"/>
      <c r="AW3" s="37"/>
      <c r="AX3" s="37"/>
      <c r="AY3" s="37"/>
      <c r="AZ3" s="37"/>
      <c r="BA3" s="37"/>
      <c r="BB3" s="37"/>
      <c r="BC3" s="37"/>
      <c r="BD3" s="37"/>
      <c r="BE3" s="37"/>
      <c r="BF3" s="37"/>
      <c r="BG3" s="37"/>
      <c r="BH3" s="37"/>
      <c r="BI3" s="37"/>
      <c r="BJ3" s="37"/>
      <c r="BK3" s="37"/>
      <c r="BL3" s="37"/>
      <c r="BM3" s="37"/>
      <c r="BN3" s="37"/>
      <c r="BO3" s="37"/>
      <c r="BP3" s="37"/>
    </row>
    <row r="4" spans="4:68" ht="15" thickBot="1" x14ac:dyDescent="0.35">
      <c r="D4" s="37"/>
      <c r="E4" s="41"/>
      <c r="F4" s="41"/>
      <c r="G4" s="42" t="s">
        <v>26</v>
      </c>
      <c r="H4" s="43">
        <v>45778</v>
      </c>
      <c r="I4" s="42"/>
      <c r="J4" s="42" t="s">
        <v>27</v>
      </c>
      <c r="K4" s="43">
        <f>EOMONTH(H4,0)</f>
        <v>45808</v>
      </c>
      <c r="L4" s="42"/>
      <c r="M4" s="42"/>
      <c r="N4" s="42">
        <f>(DATEDIF($H$4,$K$4,"D"))+1</f>
        <v>31</v>
      </c>
      <c r="O4" s="44" t="str">
        <f>TEXT(H4,"MMMM")</f>
        <v>May</v>
      </c>
      <c r="P4" s="42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41"/>
      <c r="AC4" s="41"/>
      <c r="AD4" s="41"/>
      <c r="AE4" s="41"/>
      <c r="AF4" s="41"/>
      <c r="AG4" s="41"/>
      <c r="AH4" s="41"/>
      <c r="AI4" s="41"/>
      <c r="AJ4" s="41"/>
      <c r="AK4" s="41"/>
      <c r="AL4" s="41"/>
      <c r="AM4" s="41"/>
      <c r="AN4" s="41"/>
      <c r="AO4" s="37"/>
      <c r="AP4" s="37"/>
      <c r="AQ4" s="37"/>
      <c r="AR4" s="37"/>
      <c r="AS4" s="37"/>
      <c r="AT4" s="37"/>
      <c r="AU4" s="37"/>
      <c r="AV4" s="38"/>
      <c r="AW4" s="37"/>
      <c r="AX4" s="37"/>
      <c r="AY4" s="37"/>
      <c r="AZ4" s="37"/>
      <c r="BA4" s="37"/>
      <c r="BB4" s="37"/>
      <c r="BC4" s="37"/>
      <c r="BD4" s="37"/>
      <c r="BE4" s="37"/>
      <c r="BF4" s="37"/>
      <c r="BG4" s="37"/>
      <c r="BH4" s="37"/>
      <c r="BI4" s="37"/>
      <c r="BJ4" s="37"/>
      <c r="BK4" s="37"/>
      <c r="BL4" s="37"/>
      <c r="BM4" s="37"/>
      <c r="BN4" s="37"/>
      <c r="BO4" s="37"/>
      <c r="BP4" s="37"/>
    </row>
    <row r="5" spans="4:68" ht="15" thickBot="1" x14ac:dyDescent="0.35">
      <c r="D5" s="37"/>
      <c r="E5" s="41"/>
      <c r="F5" s="88" t="s">
        <v>40</v>
      </c>
      <c r="G5" s="89"/>
      <c r="H5" s="89"/>
      <c r="I5" s="8" t="s">
        <v>29</v>
      </c>
      <c r="J5" s="8" t="str">
        <f>TEXT(J6,"DDD")</f>
        <v>Thu</v>
      </c>
      <c r="K5" s="8" t="str">
        <f t="shared" ref="K5:AN5" si="0">TEXT(K6,"DDD")</f>
        <v>Fri</v>
      </c>
      <c r="L5" s="8" t="str">
        <f t="shared" si="0"/>
        <v>Sat</v>
      </c>
      <c r="M5" s="8" t="str">
        <f t="shared" si="0"/>
        <v>Sun</v>
      </c>
      <c r="N5" s="8" t="str">
        <f t="shared" si="0"/>
        <v>Mon</v>
      </c>
      <c r="O5" s="8" t="str">
        <f t="shared" si="0"/>
        <v>Tue</v>
      </c>
      <c r="P5" s="8" t="str">
        <f t="shared" si="0"/>
        <v>Wed</v>
      </c>
      <c r="Q5" s="8" t="str">
        <f t="shared" si="0"/>
        <v>Thu</v>
      </c>
      <c r="R5" s="8" t="str">
        <f t="shared" si="0"/>
        <v>Fri</v>
      </c>
      <c r="S5" s="8" t="str">
        <f t="shared" si="0"/>
        <v>Sat</v>
      </c>
      <c r="T5" s="8" t="str">
        <f t="shared" si="0"/>
        <v>Sun</v>
      </c>
      <c r="U5" s="8" t="str">
        <f t="shared" si="0"/>
        <v>Mon</v>
      </c>
      <c r="V5" s="8" t="str">
        <f t="shared" si="0"/>
        <v>Tue</v>
      </c>
      <c r="W5" s="8" t="str">
        <f t="shared" si="0"/>
        <v>Wed</v>
      </c>
      <c r="X5" s="8" t="str">
        <f t="shared" si="0"/>
        <v>Thu</v>
      </c>
      <c r="Y5" s="8" t="str">
        <f t="shared" si="0"/>
        <v>Fri</v>
      </c>
      <c r="Z5" s="8" t="str">
        <f t="shared" si="0"/>
        <v>Sat</v>
      </c>
      <c r="AA5" s="8" t="str">
        <f t="shared" si="0"/>
        <v>Sun</v>
      </c>
      <c r="AB5" s="8" t="str">
        <f t="shared" si="0"/>
        <v>Mon</v>
      </c>
      <c r="AC5" s="8" t="str">
        <f t="shared" si="0"/>
        <v>Tue</v>
      </c>
      <c r="AD5" s="8" t="str">
        <f t="shared" si="0"/>
        <v>Wed</v>
      </c>
      <c r="AE5" s="8" t="str">
        <f t="shared" si="0"/>
        <v>Thu</v>
      </c>
      <c r="AF5" s="8" t="str">
        <f t="shared" si="0"/>
        <v>Fri</v>
      </c>
      <c r="AG5" s="8" t="str">
        <f t="shared" si="0"/>
        <v>Sat</v>
      </c>
      <c r="AH5" s="8" t="str">
        <f t="shared" si="0"/>
        <v>Sun</v>
      </c>
      <c r="AI5" s="8" t="str">
        <f t="shared" si="0"/>
        <v>Mon</v>
      </c>
      <c r="AJ5" s="8" t="str">
        <f t="shared" si="0"/>
        <v>Tue</v>
      </c>
      <c r="AK5" s="8" t="str">
        <f t="shared" si="0"/>
        <v>Wed</v>
      </c>
      <c r="AL5" s="8" t="str">
        <f t="shared" si="0"/>
        <v>Thu</v>
      </c>
      <c r="AM5" s="8" t="str">
        <f t="shared" si="0"/>
        <v>Fri</v>
      </c>
      <c r="AN5" s="9" t="str">
        <f t="shared" si="0"/>
        <v>Sat</v>
      </c>
      <c r="AO5" s="39"/>
      <c r="AP5" s="39"/>
      <c r="AQ5" s="39"/>
      <c r="AR5" s="39"/>
      <c r="AS5" s="39"/>
      <c r="AT5" s="39"/>
      <c r="AU5" s="39"/>
      <c r="AV5" s="39"/>
      <c r="AW5" s="39"/>
      <c r="AX5" s="39"/>
      <c r="AY5" s="39"/>
      <c r="AZ5" s="39"/>
      <c r="BA5" s="39"/>
      <c r="BB5" s="39"/>
      <c r="BC5" s="39"/>
      <c r="BD5" s="39"/>
      <c r="BE5" s="39"/>
      <c r="BF5" s="37"/>
      <c r="BG5" s="37"/>
      <c r="BH5" s="37"/>
      <c r="BI5" s="37"/>
      <c r="BJ5" s="37"/>
      <c r="BK5" s="37"/>
    </row>
    <row r="6" spans="4:68" ht="18.600000000000001" thickBot="1" x14ac:dyDescent="0.35">
      <c r="D6" s="37"/>
      <c r="E6" s="41"/>
      <c r="F6" s="10" t="s">
        <v>24</v>
      </c>
      <c r="G6" s="11" t="s">
        <v>23</v>
      </c>
      <c r="H6" s="12" t="s">
        <v>25</v>
      </c>
      <c r="I6" s="13" t="s">
        <v>28</v>
      </c>
      <c r="J6" s="14">
        <f>H4</f>
        <v>45778</v>
      </c>
      <c r="K6" s="14">
        <f>IF(J6&lt;$K$4,J6+1,"")</f>
        <v>45779</v>
      </c>
      <c r="L6" s="14">
        <f t="shared" ref="L6:AL6" si="1">IF(K6&lt;$K$4,K6+1,"")</f>
        <v>45780</v>
      </c>
      <c r="M6" s="14">
        <f t="shared" si="1"/>
        <v>45781</v>
      </c>
      <c r="N6" s="14">
        <f t="shared" si="1"/>
        <v>45782</v>
      </c>
      <c r="O6" s="14">
        <f t="shared" si="1"/>
        <v>45783</v>
      </c>
      <c r="P6" s="14">
        <f t="shared" si="1"/>
        <v>45784</v>
      </c>
      <c r="Q6" s="14">
        <f t="shared" si="1"/>
        <v>45785</v>
      </c>
      <c r="R6" s="14">
        <f t="shared" si="1"/>
        <v>45786</v>
      </c>
      <c r="S6" s="14">
        <f t="shared" si="1"/>
        <v>45787</v>
      </c>
      <c r="T6" s="14">
        <f t="shared" si="1"/>
        <v>45788</v>
      </c>
      <c r="U6" s="14">
        <f t="shared" si="1"/>
        <v>45789</v>
      </c>
      <c r="V6" s="14">
        <f t="shared" si="1"/>
        <v>45790</v>
      </c>
      <c r="W6" s="14">
        <f t="shared" si="1"/>
        <v>45791</v>
      </c>
      <c r="X6" s="14">
        <f t="shared" si="1"/>
        <v>45792</v>
      </c>
      <c r="Y6" s="14">
        <f t="shared" si="1"/>
        <v>45793</v>
      </c>
      <c r="Z6" s="14">
        <f t="shared" si="1"/>
        <v>45794</v>
      </c>
      <c r="AA6" s="14">
        <f t="shared" si="1"/>
        <v>45795</v>
      </c>
      <c r="AB6" s="14">
        <f t="shared" si="1"/>
        <v>45796</v>
      </c>
      <c r="AC6" s="14">
        <f t="shared" si="1"/>
        <v>45797</v>
      </c>
      <c r="AD6" s="14">
        <f t="shared" si="1"/>
        <v>45798</v>
      </c>
      <c r="AE6" s="14">
        <f t="shared" si="1"/>
        <v>45799</v>
      </c>
      <c r="AF6" s="14">
        <f t="shared" si="1"/>
        <v>45800</v>
      </c>
      <c r="AG6" s="14">
        <f t="shared" si="1"/>
        <v>45801</v>
      </c>
      <c r="AH6" s="14">
        <f t="shared" si="1"/>
        <v>45802</v>
      </c>
      <c r="AI6" s="14">
        <f t="shared" si="1"/>
        <v>45803</v>
      </c>
      <c r="AJ6" s="14">
        <f t="shared" si="1"/>
        <v>45804</v>
      </c>
      <c r="AK6" s="14">
        <f t="shared" si="1"/>
        <v>45805</v>
      </c>
      <c r="AL6" s="14">
        <f t="shared" si="1"/>
        <v>45806</v>
      </c>
      <c r="AM6" s="14">
        <f t="shared" ref="AM6:AN6" si="2">IF(AL6&lt;=$K$4,AL6+1,"")</f>
        <v>45807</v>
      </c>
      <c r="AN6" s="15">
        <f t="shared" si="2"/>
        <v>45808</v>
      </c>
      <c r="AO6" s="40"/>
      <c r="AP6" s="34" t="s">
        <v>24</v>
      </c>
      <c r="AQ6" s="35" t="s">
        <v>23</v>
      </c>
      <c r="AR6" s="35" t="s">
        <v>41</v>
      </c>
      <c r="AS6" s="35" t="s">
        <v>25</v>
      </c>
      <c r="AT6" s="35" t="s">
        <v>30</v>
      </c>
      <c r="AU6" s="35" t="s">
        <v>31</v>
      </c>
      <c r="AV6" s="35" t="s">
        <v>32</v>
      </c>
      <c r="AW6" s="35" t="s">
        <v>38</v>
      </c>
      <c r="AX6" s="35" t="s">
        <v>29</v>
      </c>
      <c r="AY6" s="35" t="s">
        <v>33</v>
      </c>
      <c r="AZ6" s="35" t="s">
        <v>34</v>
      </c>
      <c r="BA6" s="35" t="s">
        <v>35</v>
      </c>
      <c r="BB6" s="35" t="s">
        <v>36</v>
      </c>
      <c r="BC6" s="35" t="s">
        <v>37</v>
      </c>
      <c r="BD6" s="36" t="s">
        <v>39</v>
      </c>
      <c r="BE6" s="39"/>
      <c r="BF6" s="37"/>
      <c r="BG6" s="37"/>
      <c r="BH6" s="37"/>
      <c r="BI6" s="37"/>
      <c r="BJ6" s="37"/>
      <c r="BK6" s="37"/>
    </row>
    <row r="7" spans="4:68" ht="15.6" x14ac:dyDescent="0.3">
      <c r="D7" s="37"/>
      <c r="E7" s="41"/>
      <c r="F7" s="16">
        <v>1</v>
      </c>
      <c r="G7" s="17">
        <v>1001</v>
      </c>
      <c r="H7" s="18" t="s">
        <v>3</v>
      </c>
      <c r="I7" s="60">
        <f>COUNTIF($J$5:$AN$5,"SUN")</f>
        <v>4</v>
      </c>
      <c r="J7" s="63" t="s">
        <v>42</v>
      </c>
      <c r="K7" s="63" t="s">
        <v>42</v>
      </c>
      <c r="L7" s="63" t="s">
        <v>42</v>
      </c>
      <c r="M7" s="63" t="str">
        <f t="shared" ref="M7:AH15" si="3">IF(M$5="Sun","WO","")</f>
        <v>WO</v>
      </c>
      <c r="N7" s="63" t="s">
        <v>42</v>
      </c>
      <c r="O7" s="63" t="s">
        <v>42</v>
      </c>
      <c r="P7" s="63" t="s">
        <v>44</v>
      </c>
      <c r="Q7" s="63" t="s">
        <v>42</v>
      </c>
      <c r="R7" s="63" t="s">
        <v>42</v>
      </c>
      <c r="S7" s="63" t="s">
        <v>42</v>
      </c>
      <c r="T7" s="63" t="str">
        <f t="shared" si="3"/>
        <v>WO</v>
      </c>
      <c r="U7" s="63" t="s">
        <v>42</v>
      </c>
      <c r="V7" s="63" t="s">
        <v>42</v>
      </c>
      <c r="W7" s="63" t="s">
        <v>42</v>
      </c>
      <c r="X7" s="63" t="s">
        <v>42</v>
      </c>
      <c r="Y7" s="63" t="s">
        <v>42</v>
      </c>
      <c r="Z7" s="63" t="s">
        <v>42</v>
      </c>
      <c r="AA7" s="63" t="str">
        <f t="shared" si="3"/>
        <v>WO</v>
      </c>
      <c r="AB7" s="63" t="s">
        <v>42</v>
      </c>
      <c r="AC7" s="63" t="s">
        <v>42</v>
      </c>
      <c r="AD7" s="63" t="s">
        <v>44</v>
      </c>
      <c r="AE7" s="63" t="s">
        <v>42</v>
      </c>
      <c r="AF7" s="63" t="s">
        <v>42</v>
      </c>
      <c r="AG7" s="63" t="s">
        <v>42</v>
      </c>
      <c r="AH7" s="63" t="str">
        <f t="shared" si="3"/>
        <v>WO</v>
      </c>
      <c r="AI7" s="63" t="s">
        <v>42</v>
      </c>
      <c r="AJ7" s="63" t="s">
        <v>42</v>
      </c>
      <c r="AK7" s="63" t="s">
        <v>42</v>
      </c>
      <c r="AL7" s="63" t="s">
        <v>44</v>
      </c>
      <c r="AM7" s="63" t="s">
        <v>42</v>
      </c>
      <c r="AN7" s="72" t="s">
        <v>42</v>
      </c>
      <c r="AO7" s="39"/>
      <c r="AP7" s="28">
        <v>1</v>
      </c>
      <c r="AQ7" s="21">
        <v>1001</v>
      </c>
      <c r="AR7" s="33" t="str">
        <f t="shared" ref="AR7:AR26" si="4">$O$4</f>
        <v>May</v>
      </c>
      <c r="AS7" s="21" t="s">
        <v>3</v>
      </c>
      <c r="AT7" s="29">
        <f t="shared" ref="AT7:AT26" si="5">COUNTIF($J7:$AN7,"*P*")</f>
        <v>24</v>
      </c>
      <c r="AU7" s="29">
        <f t="shared" ref="AU7:AU26" si="6">COUNTIF($J7:$AN7,"*A*")</f>
        <v>0</v>
      </c>
      <c r="AV7" s="29">
        <f t="shared" ref="AV7:AV26" si="7">COUNTIF($J7:$AN7,"*L*")</f>
        <v>3</v>
      </c>
      <c r="AW7" s="29">
        <f t="shared" ref="AW7:AW26" si="8">I7</f>
        <v>4</v>
      </c>
      <c r="AX7" s="30">
        <f>$N$4</f>
        <v>31</v>
      </c>
      <c r="AY7" s="29">
        <f>MAYReport[[#This Row],[Days]]-MAYReport[[#This Row],[Adsent]]</f>
        <v>31</v>
      </c>
      <c r="AZ7" s="31">
        <v>10000</v>
      </c>
      <c r="BA7" s="32">
        <f>MAYReport[[#This Row],[Salary]]/MAYReport[[#This Row],[Days]]</f>
        <v>322.58064516129031</v>
      </c>
      <c r="BB7" s="31">
        <f>MAYReport[[#This Row],[Perday salary]]*MAYReport[[#This Row],[Adsent]]</f>
        <v>0</v>
      </c>
      <c r="BC7" s="31">
        <f>MAYReport[[#This Row],[Salary]]-MAYReport[[#This Row],[Detuction ]]</f>
        <v>10000</v>
      </c>
      <c r="BD7" s="29"/>
      <c r="BE7" s="39"/>
      <c r="BF7" s="37"/>
      <c r="BG7" s="37"/>
      <c r="BH7" s="37"/>
      <c r="BI7" s="37"/>
      <c r="BJ7" s="37"/>
      <c r="BK7" s="37"/>
    </row>
    <row r="8" spans="4:68" ht="15.6" x14ac:dyDescent="0.3">
      <c r="D8" s="37"/>
      <c r="E8" s="41"/>
      <c r="F8" s="20">
        <v>2</v>
      </c>
      <c r="G8" s="21">
        <v>1002</v>
      </c>
      <c r="H8" s="22" t="s">
        <v>4</v>
      </c>
      <c r="I8" s="61">
        <f t="shared" ref="I8:I26" si="9">COUNTIF($J$5:$AN$5,"SUN")</f>
        <v>4</v>
      </c>
      <c r="J8" s="64" t="s">
        <v>42</v>
      </c>
      <c r="K8" s="64" t="s">
        <v>42</v>
      </c>
      <c r="L8" s="64" t="s">
        <v>42</v>
      </c>
      <c r="M8" s="64" t="str">
        <f t="shared" si="3"/>
        <v>WO</v>
      </c>
      <c r="N8" s="64" t="s">
        <v>42</v>
      </c>
      <c r="O8" s="64" t="s">
        <v>42</v>
      </c>
      <c r="P8" s="64" t="s">
        <v>44</v>
      </c>
      <c r="Q8" s="64" t="s">
        <v>42</v>
      </c>
      <c r="R8" s="64" t="s">
        <v>42</v>
      </c>
      <c r="S8" s="64" t="s">
        <v>42</v>
      </c>
      <c r="T8" s="64" t="str">
        <f t="shared" si="3"/>
        <v>WO</v>
      </c>
      <c r="U8" s="64" t="s">
        <v>42</v>
      </c>
      <c r="V8" s="64" t="s">
        <v>42</v>
      </c>
      <c r="W8" s="64" t="s">
        <v>42</v>
      </c>
      <c r="X8" s="64" t="s">
        <v>42</v>
      </c>
      <c r="Y8" s="64" t="s">
        <v>42</v>
      </c>
      <c r="Z8" s="64" t="s">
        <v>42</v>
      </c>
      <c r="AA8" s="64" t="str">
        <f t="shared" si="3"/>
        <v>WO</v>
      </c>
      <c r="AB8" s="64" t="s">
        <v>42</v>
      </c>
      <c r="AC8" s="64" t="s">
        <v>42</v>
      </c>
      <c r="AD8" s="64" t="s">
        <v>44</v>
      </c>
      <c r="AE8" s="64" t="s">
        <v>42</v>
      </c>
      <c r="AF8" s="64" t="s">
        <v>42</v>
      </c>
      <c r="AG8" s="64" t="s">
        <v>42</v>
      </c>
      <c r="AH8" s="64" t="str">
        <f t="shared" si="3"/>
        <v>WO</v>
      </c>
      <c r="AI8" s="64" t="s">
        <v>42</v>
      </c>
      <c r="AJ8" s="64" t="s">
        <v>42</v>
      </c>
      <c r="AK8" s="64" t="s">
        <v>42</v>
      </c>
      <c r="AL8" s="64" t="s">
        <v>44</v>
      </c>
      <c r="AM8" s="64" t="s">
        <v>42</v>
      </c>
      <c r="AN8" s="73" t="s">
        <v>42</v>
      </c>
      <c r="AO8" s="39"/>
      <c r="AP8" s="28">
        <v>2</v>
      </c>
      <c r="AQ8" s="21">
        <v>1002</v>
      </c>
      <c r="AR8" s="33" t="str">
        <f t="shared" si="4"/>
        <v>May</v>
      </c>
      <c r="AS8" s="21" t="s">
        <v>4</v>
      </c>
      <c r="AT8" s="29">
        <f t="shared" si="5"/>
        <v>24</v>
      </c>
      <c r="AU8" s="29">
        <f t="shared" si="6"/>
        <v>0</v>
      </c>
      <c r="AV8" s="29">
        <f t="shared" si="7"/>
        <v>3</v>
      </c>
      <c r="AW8" s="29">
        <f t="shared" si="8"/>
        <v>4</v>
      </c>
      <c r="AX8" s="30">
        <f t="shared" ref="AX8:AX26" si="10">$N$4</f>
        <v>31</v>
      </c>
      <c r="AY8" s="29">
        <f>MAYReport[[#This Row],[Days]]-MAYReport[[#This Row],[Adsent]]</f>
        <v>31</v>
      </c>
      <c r="AZ8" s="31">
        <v>20000</v>
      </c>
      <c r="BA8" s="32">
        <f>MAYReport[[#This Row],[Salary]]/MAYReport[[#This Row],[Days]]</f>
        <v>645.16129032258061</v>
      </c>
      <c r="BB8" s="31">
        <f>MAYReport[[#This Row],[Perday salary]]*MAYReport[[#This Row],[Adsent]]</f>
        <v>0</v>
      </c>
      <c r="BC8" s="31">
        <f>MAYReport[[#This Row],[Salary]]-MAYReport[[#This Row],[Detuction ]]</f>
        <v>20000</v>
      </c>
      <c r="BD8" s="29"/>
      <c r="BE8" s="39"/>
      <c r="BF8" s="37"/>
      <c r="BG8" s="37"/>
      <c r="BH8" s="37"/>
      <c r="BI8" s="37"/>
      <c r="BJ8" s="37"/>
      <c r="BK8" s="37"/>
    </row>
    <row r="9" spans="4:68" ht="15.6" x14ac:dyDescent="0.3">
      <c r="D9" s="37"/>
      <c r="E9" s="41"/>
      <c r="F9" s="20">
        <v>3</v>
      </c>
      <c r="G9" s="21">
        <v>1003</v>
      </c>
      <c r="H9" s="22" t="s">
        <v>5</v>
      </c>
      <c r="I9" s="61">
        <f t="shared" si="9"/>
        <v>4</v>
      </c>
      <c r="J9" s="64" t="s">
        <v>42</v>
      </c>
      <c r="K9" s="64" t="s">
        <v>42</v>
      </c>
      <c r="L9" s="64" t="s">
        <v>42</v>
      </c>
      <c r="M9" s="64" t="str">
        <f t="shared" si="3"/>
        <v>WO</v>
      </c>
      <c r="N9" s="64" t="s">
        <v>42</v>
      </c>
      <c r="O9" s="64" t="s">
        <v>42</v>
      </c>
      <c r="P9" s="64" t="s">
        <v>44</v>
      </c>
      <c r="Q9" s="64" t="s">
        <v>42</v>
      </c>
      <c r="R9" s="64" t="s">
        <v>42</v>
      </c>
      <c r="S9" s="64" t="s">
        <v>42</v>
      </c>
      <c r="T9" s="64" t="str">
        <f t="shared" si="3"/>
        <v>WO</v>
      </c>
      <c r="U9" s="64" t="s">
        <v>42</v>
      </c>
      <c r="V9" s="64" t="s">
        <v>42</v>
      </c>
      <c r="W9" s="64" t="s">
        <v>42</v>
      </c>
      <c r="X9" s="64" t="s">
        <v>42</v>
      </c>
      <c r="Y9" s="64" t="s">
        <v>42</v>
      </c>
      <c r="Z9" s="64" t="s">
        <v>42</v>
      </c>
      <c r="AA9" s="64" t="str">
        <f t="shared" si="3"/>
        <v>WO</v>
      </c>
      <c r="AB9" s="64" t="s">
        <v>42</v>
      </c>
      <c r="AC9" s="64" t="s">
        <v>42</v>
      </c>
      <c r="AD9" s="64" t="s">
        <v>44</v>
      </c>
      <c r="AE9" s="64" t="s">
        <v>42</v>
      </c>
      <c r="AF9" s="64" t="s">
        <v>42</v>
      </c>
      <c r="AG9" s="64" t="s">
        <v>42</v>
      </c>
      <c r="AH9" s="64" t="str">
        <f t="shared" si="3"/>
        <v>WO</v>
      </c>
      <c r="AI9" s="64" t="s">
        <v>42</v>
      </c>
      <c r="AJ9" s="64" t="s">
        <v>42</v>
      </c>
      <c r="AK9" s="64" t="s">
        <v>42</v>
      </c>
      <c r="AL9" s="64" t="s">
        <v>44</v>
      </c>
      <c r="AM9" s="64" t="s">
        <v>42</v>
      </c>
      <c r="AN9" s="73" t="s">
        <v>42</v>
      </c>
      <c r="AO9" s="39"/>
      <c r="AP9" s="28">
        <v>3</v>
      </c>
      <c r="AQ9" s="21">
        <v>1003</v>
      </c>
      <c r="AR9" s="33" t="str">
        <f t="shared" si="4"/>
        <v>May</v>
      </c>
      <c r="AS9" s="21" t="s">
        <v>5</v>
      </c>
      <c r="AT9" s="29">
        <f t="shared" si="5"/>
        <v>24</v>
      </c>
      <c r="AU9" s="29">
        <f t="shared" si="6"/>
        <v>0</v>
      </c>
      <c r="AV9" s="29">
        <f t="shared" si="7"/>
        <v>3</v>
      </c>
      <c r="AW9" s="29">
        <f t="shared" si="8"/>
        <v>4</v>
      </c>
      <c r="AX9" s="30">
        <f t="shared" si="10"/>
        <v>31</v>
      </c>
      <c r="AY9" s="29">
        <f>MAYReport[[#This Row],[Days]]-MAYReport[[#This Row],[Adsent]]</f>
        <v>31</v>
      </c>
      <c r="AZ9" s="31">
        <v>25000</v>
      </c>
      <c r="BA9" s="32">
        <f>MAYReport[[#This Row],[Salary]]/MAYReport[[#This Row],[Days]]</f>
        <v>806.45161290322585</v>
      </c>
      <c r="BB9" s="31">
        <f>MAYReport[[#This Row],[Perday salary]]*MAYReport[[#This Row],[Adsent]]</f>
        <v>0</v>
      </c>
      <c r="BC9" s="31">
        <f>MAYReport[[#This Row],[Salary]]-MAYReport[[#This Row],[Detuction ]]</f>
        <v>25000</v>
      </c>
      <c r="BD9" s="29"/>
      <c r="BE9" s="39"/>
      <c r="BF9" s="37"/>
      <c r="BG9" s="37"/>
      <c r="BH9" s="37"/>
      <c r="BI9" s="37"/>
      <c r="BJ9" s="37"/>
      <c r="BK9" s="37"/>
    </row>
    <row r="10" spans="4:68" ht="15.6" x14ac:dyDescent="0.3">
      <c r="D10" s="37"/>
      <c r="E10" s="41"/>
      <c r="F10" s="20">
        <v>4</v>
      </c>
      <c r="G10" s="21">
        <v>1004</v>
      </c>
      <c r="H10" s="22" t="s">
        <v>6</v>
      </c>
      <c r="I10" s="61">
        <f t="shared" si="9"/>
        <v>4</v>
      </c>
      <c r="J10" s="64" t="s">
        <v>42</v>
      </c>
      <c r="K10" s="64" t="s">
        <v>42</v>
      </c>
      <c r="L10" s="64" t="s">
        <v>42</v>
      </c>
      <c r="M10" s="64" t="str">
        <f t="shared" si="3"/>
        <v>WO</v>
      </c>
      <c r="N10" s="64" t="s">
        <v>42</v>
      </c>
      <c r="O10" s="64" t="s">
        <v>42</v>
      </c>
      <c r="P10" s="64" t="s">
        <v>44</v>
      </c>
      <c r="Q10" s="64" t="s">
        <v>42</v>
      </c>
      <c r="R10" s="64" t="s">
        <v>42</v>
      </c>
      <c r="S10" s="64" t="s">
        <v>42</v>
      </c>
      <c r="T10" s="64" t="str">
        <f t="shared" si="3"/>
        <v>WO</v>
      </c>
      <c r="U10" s="64" t="s">
        <v>42</v>
      </c>
      <c r="V10" s="64" t="s">
        <v>42</v>
      </c>
      <c r="W10" s="64" t="s">
        <v>42</v>
      </c>
      <c r="X10" s="64" t="s">
        <v>42</v>
      </c>
      <c r="Y10" s="64" t="s">
        <v>42</v>
      </c>
      <c r="Z10" s="64" t="s">
        <v>42</v>
      </c>
      <c r="AA10" s="64" t="str">
        <f t="shared" si="3"/>
        <v>WO</v>
      </c>
      <c r="AB10" s="64" t="s">
        <v>42</v>
      </c>
      <c r="AC10" s="64" t="s">
        <v>42</v>
      </c>
      <c r="AD10" s="64" t="s">
        <v>44</v>
      </c>
      <c r="AE10" s="64" t="s">
        <v>42</v>
      </c>
      <c r="AF10" s="64" t="s">
        <v>42</v>
      </c>
      <c r="AG10" s="64" t="s">
        <v>42</v>
      </c>
      <c r="AH10" s="64" t="str">
        <f t="shared" si="3"/>
        <v>WO</v>
      </c>
      <c r="AI10" s="64" t="s">
        <v>42</v>
      </c>
      <c r="AJ10" s="64" t="s">
        <v>42</v>
      </c>
      <c r="AK10" s="64" t="s">
        <v>43</v>
      </c>
      <c r="AL10" s="64" t="s">
        <v>44</v>
      </c>
      <c r="AM10" s="64" t="s">
        <v>42</v>
      </c>
      <c r="AN10" s="73" t="s">
        <v>42</v>
      </c>
      <c r="AO10" s="39"/>
      <c r="AP10" s="28">
        <v>4</v>
      </c>
      <c r="AQ10" s="21">
        <v>1004</v>
      </c>
      <c r="AR10" s="33" t="str">
        <f t="shared" si="4"/>
        <v>May</v>
      </c>
      <c r="AS10" s="21" t="s">
        <v>6</v>
      </c>
      <c r="AT10" s="29">
        <f t="shared" si="5"/>
        <v>23</v>
      </c>
      <c r="AU10" s="29">
        <f t="shared" si="6"/>
        <v>1</v>
      </c>
      <c r="AV10" s="29">
        <f t="shared" si="7"/>
        <v>3</v>
      </c>
      <c r="AW10" s="29">
        <f t="shared" si="8"/>
        <v>4</v>
      </c>
      <c r="AX10" s="30">
        <f t="shared" si="10"/>
        <v>31</v>
      </c>
      <c r="AY10" s="29">
        <f>MAYReport[[#This Row],[Days]]-MAYReport[[#This Row],[Adsent]]</f>
        <v>30</v>
      </c>
      <c r="AZ10" s="31">
        <v>30000</v>
      </c>
      <c r="BA10" s="32">
        <f>MAYReport[[#This Row],[Salary]]/MAYReport[[#This Row],[Days]]</f>
        <v>967.74193548387098</v>
      </c>
      <c r="BB10" s="31">
        <f>MAYReport[[#This Row],[Perday salary]]*MAYReport[[#This Row],[Adsent]]</f>
        <v>967.74193548387098</v>
      </c>
      <c r="BC10" s="31">
        <f>MAYReport[[#This Row],[Salary]]-MAYReport[[#This Row],[Detuction ]]</f>
        <v>29032.258064516129</v>
      </c>
      <c r="BD10" s="29"/>
      <c r="BE10" s="39"/>
      <c r="BF10" s="37"/>
      <c r="BG10" s="37"/>
      <c r="BH10" s="37"/>
      <c r="BI10" s="37"/>
      <c r="BJ10" s="37"/>
      <c r="BK10" s="37"/>
    </row>
    <row r="11" spans="4:68" ht="15.6" x14ac:dyDescent="0.3">
      <c r="D11" s="37"/>
      <c r="E11" s="41"/>
      <c r="F11" s="20">
        <v>5</v>
      </c>
      <c r="G11" s="21">
        <v>1005</v>
      </c>
      <c r="H11" s="22" t="s">
        <v>7</v>
      </c>
      <c r="I11" s="61">
        <f t="shared" si="9"/>
        <v>4</v>
      </c>
      <c r="J11" s="64" t="s">
        <v>42</v>
      </c>
      <c r="K11" s="64" t="s">
        <v>43</v>
      </c>
      <c r="L11" s="64" t="s">
        <v>42</v>
      </c>
      <c r="M11" s="64" t="str">
        <f t="shared" si="3"/>
        <v>WO</v>
      </c>
      <c r="N11" s="64" t="s">
        <v>42</v>
      </c>
      <c r="O11" s="64" t="s">
        <v>42</v>
      </c>
      <c r="P11" s="64" t="s">
        <v>44</v>
      </c>
      <c r="Q11" s="64" t="s">
        <v>42</v>
      </c>
      <c r="R11" s="64" t="s">
        <v>42</v>
      </c>
      <c r="S11" s="64" t="s">
        <v>42</v>
      </c>
      <c r="T11" s="64" t="str">
        <f t="shared" si="3"/>
        <v>WO</v>
      </c>
      <c r="U11" s="64" t="s">
        <v>42</v>
      </c>
      <c r="V11" s="64" t="s">
        <v>42</v>
      </c>
      <c r="W11" s="64" t="s">
        <v>42</v>
      </c>
      <c r="X11" s="64" t="s">
        <v>43</v>
      </c>
      <c r="Y11" s="64" t="s">
        <v>42</v>
      </c>
      <c r="Z11" s="64" t="s">
        <v>42</v>
      </c>
      <c r="AA11" s="64" t="str">
        <f t="shared" si="3"/>
        <v>WO</v>
      </c>
      <c r="AB11" s="64" t="s">
        <v>42</v>
      </c>
      <c r="AC11" s="64" t="s">
        <v>42</v>
      </c>
      <c r="AD11" s="64" t="s">
        <v>44</v>
      </c>
      <c r="AE11" s="64" t="s">
        <v>42</v>
      </c>
      <c r="AF11" s="64" t="s">
        <v>43</v>
      </c>
      <c r="AG11" s="64" t="s">
        <v>42</v>
      </c>
      <c r="AH11" s="64" t="str">
        <f t="shared" si="3"/>
        <v>WO</v>
      </c>
      <c r="AI11" s="64" t="s">
        <v>42</v>
      </c>
      <c r="AJ11" s="64" t="s">
        <v>42</v>
      </c>
      <c r="AK11" s="64" t="s">
        <v>43</v>
      </c>
      <c r="AL11" s="64" t="s">
        <v>44</v>
      </c>
      <c r="AM11" s="64" t="s">
        <v>42</v>
      </c>
      <c r="AN11" s="73" t="s">
        <v>42</v>
      </c>
      <c r="AO11" s="39"/>
      <c r="AP11" s="28">
        <v>5</v>
      </c>
      <c r="AQ11" s="21">
        <v>1005</v>
      </c>
      <c r="AR11" s="33" t="str">
        <f t="shared" si="4"/>
        <v>May</v>
      </c>
      <c r="AS11" s="21" t="s">
        <v>7</v>
      </c>
      <c r="AT11" s="29">
        <f t="shared" si="5"/>
        <v>20</v>
      </c>
      <c r="AU11" s="29">
        <f t="shared" si="6"/>
        <v>4</v>
      </c>
      <c r="AV11" s="29">
        <f t="shared" si="7"/>
        <v>3</v>
      </c>
      <c r="AW11" s="29">
        <f t="shared" si="8"/>
        <v>4</v>
      </c>
      <c r="AX11" s="30">
        <f t="shared" si="10"/>
        <v>31</v>
      </c>
      <c r="AY11" s="29">
        <f>MAYReport[[#This Row],[Days]]-MAYReport[[#This Row],[Adsent]]</f>
        <v>27</v>
      </c>
      <c r="AZ11" s="31">
        <v>45000</v>
      </c>
      <c r="BA11" s="32">
        <f>MAYReport[[#This Row],[Salary]]/MAYReport[[#This Row],[Days]]</f>
        <v>1451.6129032258063</v>
      </c>
      <c r="BB11" s="31">
        <f>MAYReport[[#This Row],[Perday salary]]*MAYReport[[#This Row],[Adsent]]</f>
        <v>5806.4516129032254</v>
      </c>
      <c r="BC11" s="31">
        <f>MAYReport[[#This Row],[Salary]]-MAYReport[[#This Row],[Detuction ]]</f>
        <v>39193.548387096773</v>
      </c>
      <c r="BD11" s="29"/>
      <c r="BE11" s="39"/>
      <c r="BF11" s="37"/>
      <c r="BG11" s="37"/>
      <c r="BH11" s="37"/>
      <c r="BI11" s="37"/>
      <c r="BJ11" s="37"/>
      <c r="BK11" s="37"/>
    </row>
    <row r="12" spans="4:68" ht="15.6" x14ac:dyDescent="0.3">
      <c r="D12" s="37"/>
      <c r="E12" s="41"/>
      <c r="F12" s="20">
        <v>6</v>
      </c>
      <c r="G12" s="21">
        <v>1006</v>
      </c>
      <c r="H12" s="22" t="s">
        <v>8</v>
      </c>
      <c r="I12" s="61">
        <f t="shared" si="9"/>
        <v>4</v>
      </c>
      <c r="J12" s="64" t="s">
        <v>42</v>
      </c>
      <c r="K12" s="64" t="s">
        <v>42</v>
      </c>
      <c r="L12" s="64" t="s">
        <v>42</v>
      </c>
      <c r="M12" s="64" t="str">
        <f t="shared" si="3"/>
        <v>WO</v>
      </c>
      <c r="N12" s="64" t="s">
        <v>42</v>
      </c>
      <c r="O12" s="64" t="s">
        <v>42</v>
      </c>
      <c r="P12" s="64" t="s">
        <v>44</v>
      </c>
      <c r="Q12" s="64" t="s">
        <v>42</v>
      </c>
      <c r="R12" s="64" t="s">
        <v>42</v>
      </c>
      <c r="S12" s="64" t="s">
        <v>42</v>
      </c>
      <c r="T12" s="64" t="str">
        <f t="shared" si="3"/>
        <v>WO</v>
      </c>
      <c r="U12" s="64" t="s">
        <v>42</v>
      </c>
      <c r="V12" s="64" t="s">
        <v>42</v>
      </c>
      <c r="W12" s="64" t="s">
        <v>42</v>
      </c>
      <c r="X12" s="64" t="s">
        <v>42</v>
      </c>
      <c r="Y12" s="64" t="s">
        <v>42</v>
      </c>
      <c r="Z12" s="64" t="s">
        <v>42</v>
      </c>
      <c r="AA12" s="64" t="str">
        <f t="shared" si="3"/>
        <v>WO</v>
      </c>
      <c r="AB12" s="64" t="s">
        <v>42</v>
      </c>
      <c r="AC12" s="64" t="s">
        <v>42</v>
      </c>
      <c r="AD12" s="64" t="s">
        <v>44</v>
      </c>
      <c r="AE12" s="64" t="s">
        <v>42</v>
      </c>
      <c r="AF12" s="64" t="s">
        <v>42</v>
      </c>
      <c r="AG12" s="64" t="s">
        <v>42</v>
      </c>
      <c r="AH12" s="64" t="str">
        <f t="shared" si="3"/>
        <v>WO</v>
      </c>
      <c r="AI12" s="64" t="s">
        <v>42</v>
      </c>
      <c r="AJ12" s="64" t="s">
        <v>42</v>
      </c>
      <c r="AK12" s="64" t="s">
        <v>42</v>
      </c>
      <c r="AL12" s="64" t="s">
        <v>44</v>
      </c>
      <c r="AM12" s="64" t="s">
        <v>42</v>
      </c>
      <c r="AN12" s="73" t="s">
        <v>42</v>
      </c>
      <c r="AO12" s="39"/>
      <c r="AP12" s="28">
        <v>6</v>
      </c>
      <c r="AQ12" s="21">
        <v>1006</v>
      </c>
      <c r="AR12" s="33" t="str">
        <f t="shared" si="4"/>
        <v>May</v>
      </c>
      <c r="AS12" s="21" t="s">
        <v>8</v>
      </c>
      <c r="AT12" s="29">
        <f t="shared" si="5"/>
        <v>24</v>
      </c>
      <c r="AU12" s="29">
        <f t="shared" si="6"/>
        <v>0</v>
      </c>
      <c r="AV12" s="29">
        <f t="shared" si="7"/>
        <v>3</v>
      </c>
      <c r="AW12" s="29">
        <f t="shared" si="8"/>
        <v>4</v>
      </c>
      <c r="AX12" s="30">
        <f t="shared" si="10"/>
        <v>31</v>
      </c>
      <c r="AY12" s="29">
        <f>MAYReport[[#This Row],[Days]]-MAYReport[[#This Row],[Adsent]]</f>
        <v>31</v>
      </c>
      <c r="AZ12" s="31">
        <v>15000</v>
      </c>
      <c r="BA12" s="32">
        <f>MAYReport[[#This Row],[Salary]]/MAYReport[[#This Row],[Days]]</f>
        <v>483.87096774193549</v>
      </c>
      <c r="BB12" s="31">
        <f>MAYReport[[#This Row],[Perday salary]]*MAYReport[[#This Row],[Adsent]]</f>
        <v>0</v>
      </c>
      <c r="BC12" s="31">
        <f>MAYReport[[#This Row],[Salary]]-MAYReport[[#This Row],[Detuction ]]</f>
        <v>15000</v>
      </c>
      <c r="BD12" s="29"/>
      <c r="BE12" s="39"/>
      <c r="BF12" s="37"/>
      <c r="BG12" s="37"/>
      <c r="BH12" s="37"/>
      <c r="BI12" s="37"/>
      <c r="BJ12" s="37"/>
      <c r="BK12" s="37"/>
    </row>
    <row r="13" spans="4:68" ht="15.6" x14ac:dyDescent="0.3">
      <c r="D13" s="37"/>
      <c r="E13" s="41"/>
      <c r="F13" s="20">
        <v>7</v>
      </c>
      <c r="G13" s="21">
        <v>1007</v>
      </c>
      <c r="H13" s="22" t="s">
        <v>9</v>
      </c>
      <c r="I13" s="61">
        <f t="shared" si="9"/>
        <v>4</v>
      </c>
      <c r="J13" s="64" t="s">
        <v>42</v>
      </c>
      <c r="K13" s="64" t="s">
        <v>42</v>
      </c>
      <c r="L13" s="64" t="s">
        <v>42</v>
      </c>
      <c r="M13" s="64" t="str">
        <f t="shared" si="3"/>
        <v>WO</v>
      </c>
      <c r="N13" s="64" t="s">
        <v>42</v>
      </c>
      <c r="O13" s="64" t="s">
        <v>42</v>
      </c>
      <c r="P13" s="64" t="s">
        <v>44</v>
      </c>
      <c r="Q13" s="64" t="s">
        <v>42</v>
      </c>
      <c r="R13" s="64" t="s">
        <v>42</v>
      </c>
      <c r="S13" s="64" t="s">
        <v>42</v>
      </c>
      <c r="T13" s="64" t="str">
        <f t="shared" si="3"/>
        <v>WO</v>
      </c>
      <c r="U13" s="64" t="s">
        <v>42</v>
      </c>
      <c r="V13" s="64" t="s">
        <v>42</v>
      </c>
      <c r="W13" s="64" t="s">
        <v>42</v>
      </c>
      <c r="X13" s="64" t="s">
        <v>42</v>
      </c>
      <c r="Y13" s="64" t="s">
        <v>42</v>
      </c>
      <c r="Z13" s="64" t="s">
        <v>42</v>
      </c>
      <c r="AA13" s="64" t="str">
        <f t="shared" si="3"/>
        <v>WO</v>
      </c>
      <c r="AB13" s="64" t="s">
        <v>42</v>
      </c>
      <c r="AC13" s="64" t="s">
        <v>42</v>
      </c>
      <c r="AD13" s="64" t="s">
        <v>44</v>
      </c>
      <c r="AE13" s="64" t="s">
        <v>42</v>
      </c>
      <c r="AF13" s="64" t="s">
        <v>42</v>
      </c>
      <c r="AG13" s="64" t="s">
        <v>42</v>
      </c>
      <c r="AH13" s="64" t="str">
        <f t="shared" si="3"/>
        <v>WO</v>
      </c>
      <c r="AI13" s="64" t="s">
        <v>42</v>
      </c>
      <c r="AJ13" s="64" t="s">
        <v>42</v>
      </c>
      <c r="AK13" s="64" t="s">
        <v>42</v>
      </c>
      <c r="AL13" s="64" t="s">
        <v>44</v>
      </c>
      <c r="AM13" s="64" t="s">
        <v>42</v>
      </c>
      <c r="AN13" s="73" t="s">
        <v>42</v>
      </c>
      <c r="AO13" s="39"/>
      <c r="AP13" s="28">
        <v>7</v>
      </c>
      <c r="AQ13" s="21">
        <v>1007</v>
      </c>
      <c r="AR13" s="33" t="str">
        <f t="shared" si="4"/>
        <v>May</v>
      </c>
      <c r="AS13" s="21" t="s">
        <v>9</v>
      </c>
      <c r="AT13" s="29">
        <f t="shared" si="5"/>
        <v>24</v>
      </c>
      <c r="AU13" s="29">
        <f t="shared" si="6"/>
        <v>0</v>
      </c>
      <c r="AV13" s="29">
        <f t="shared" si="7"/>
        <v>3</v>
      </c>
      <c r="AW13" s="29">
        <f t="shared" si="8"/>
        <v>4</v>
      </c>
      <c r="AX13" s="30">
        <f t="shared" si="10"/>
        <v>31</v>
      </c>
      <c r="AY13" s="29">
        <f>MAYReport[[#This Row],[Days]]-MAYReport[[#This Row],[Adsent]]</f>
        <v>31</v>
      </c>
      <c r="AZ13" s="31">
        <v>62000</v>
      </c>
      <c r="BA13" s="32">
        <f>MAYReport[[#This Row],[Salary]]/MAYReport[[#This Row],[Days]]</f>
        <v>2000</v>
      </c>
      <c r="BB13" s="31">
        <f>MAYReport[[#This Row],[Perday salary]]*MAYReport[[#This Row],[Adsent]]</f>
        <v>0</v>
      </c>
      <c r="BC13" s="31">
        <f>MAYReport[[#This Row],[Salary]]-MAYReport[[#This Row],[Detuction ]]</f>
        <v>62000</v>
      </c>
      <c r="BD13" s="29"/>
      <c r="BE13" s="39"/>
      <c r="BF13" s="37"/>
      <c r="BG13" s="37"/>
      <c r="BH13" s="37"/>
      <c r="BI13" s="37"/>
      <c r="BJ13" s="37"/>
      <c r="BK13" s="37"/>
    </row>
    <row r="14" spans="4:68" ht="15.6" x14ac:dyDescent="0.3">
      <c r="D14" s="37"/>
      <c r="E14" s="41"/>
      <c r="F14" s="20">
        <v>8</v>
      </c>
      <c r="G14" s="21">
        <v>1008</v>
      </c>
      <c r="H14" s="22" t="s">
        <v>10</v>
      </c>
      <c r="I14" s="61">
        <f t="shared" si="9"/>
        <v>4</v>
      </c>
      <c r="J14" s="64" t="s">
        <v>42</v>
      </c>
      <c r="K14" s="64" t="s">
        <v>42</v>
      </c>
      <c r="L14" s="64" t="s">
        <v>42</v>
      </c>
      <c r="M14" s="64" t="str">
        <f t="shared" si="3"/>
        <v>WO</v>
      </c>
      <c r="N14" s="64" t="s">
        <v>42</v>
      </c>
      <c r="O14" s="64" t="s">
        <v>42</v>
      </c>
      <c r="P14" s="64" t="s">
        <v>44</v>
      </c>
      <c r="Q14" s="64" t="s">
        <v>42</v>
      </c>
      <c r="R14" s="64" t="s">
        <v>42</v>
      </c>
      <c r="S14" s="64" t="s">
        <v>42</v>
      </c>
      <c r="T14" s="64" t="str">
        <f t="shared" si="3"/>
        <v>WO</v>
      </c>
      <c r="U14" s="64" t="s">
        <v>42</v>
      </c>
      <c r="V14" s="64" t="s">
        <v>42</v>
      </c>
      <c r="W14" s="64" t="s">
        <v>42</v>
      </c>
      <c r="X14" s="64" t="s">
        <v>42</v>
      </c>
      <c r="Y14" s="64" t="s">
        <v>42</v>
      </c>
      <c r="Z14" s="64" t="s">
        <v>42</v>
      </c>
      <c r="AA14" s="64" t="str">
        <f t="shared" si="3"/>
        <v>WO</v>
      </c>
      <c r="AB14" s="64" t="s">
        <v>42</v>
      </c>
      <c r="AC14" s="64" t="s">
        <v>42</v>
      </c>
      <c r="AD14" s="64" t="s">
        <v>44</v>
      </c>
      <c r="AE14" s="64" t="s">
        <v>42</v>
      </c>
      <c r="AF14" s="64" t="s">
        <v>42</v>
      </c>
      <c r="AG14" s="64" t="s">
        <v>42</v>
      </c>
      <c r="AH14" s="64" t="str">
        <f t="shared" si="3"/>
        <v>WO</v>
      </c>
      <c r="AI14" s="64" t="s">
        <v>42</v>
      </c>
      <c r="AJ14" s="64" t="s">
        <v>42</v>
      </c>
      <c r="AK14" s="64" t="s">
        <v>42</v>
      </c>
      <c r="AL14" s="64" t="s">
        <v>44</v>
      </c>
      <c r="AM14" s="64" t="s">
        <v>42</v>
      </c>
      <c r="AN14" s="73" t="s">
        <v>42</v>
      </c>
      <c r="AO14" s="39"/>
      <c r="AP14" s="28">
        <v>8</v>
      </c>
      <c r="AQ14" s="21">
        <v>1008</v>
      </c>
      <c r="AR14" s="33" t="str">
        <f t="shared" si="4"/>
        <v>May</v>
      </c>
      <c r="AS14" s="21" t="s">
        <v>10</v>
      </c>
      <c r="AT14" s="29">
        <f t="shared" si="5"/>
        <v>24</v>
      </c>
      <c r="AU14" s="29">
        <f t="shared" si="6"/>
        <v>0</v>
      </c>
      <c r="AV14" s="29">
        <f t="shared" si="7"/>
        <v>3</v>
      </c>
      <c r="AW14" s="29">
        <f t="shared" si="8"/>
        <v>4</v>
      </c>
      <c r="AX14" s="30">
        <f t="shared" si="10"/>
        <v>31</v>
      </c>
      <c r="AY14" s="29">
        <f>MAYReport[[#This Row],[Days]]-MAYReport[[#This Row],[Adsent]]</f>
        <v>31</v>
      </c>
      <c r="AZ14" s="31">
        <v>50000</v>
      </c>
      <c r="BA14" s="32">
        <f>MAYReport[[#This Row],[Salary]]/MAYReport[[#This Row],[Days]]</f>
        <v>1612.9032258064517</v>
      </c>
      <c r="BB14" s="31">
        <f>MAYReport[[#This Row],[Perday salary]]*MAYReport[[#This Row],[Adsent]]</f>
        <v>0</v>
      </c>
      <c r="BC14" s="31">
        <f>MAYReport[[#This Row],[Salary]]-MAYReport[[#This Row],[Detuction ]]</f>
        <v>50000</v>
      </c>
      <c r="BD14" s="29"/>
      <c r="BE14" s="39"/>
      <c r="BF14" s="37"/>
      <c r="BG14" s="37"/>
      <c r="BH14" s="37"/>
      <c r="BI14" s="37"/>
      <c r="BJ14" s="37"/>
      <c r="BK14" s="37"/>
    </row>
    <row r="15" spans="4:68" ht="15.6" x14ac:dyDescent="0.3">
      <c r="D15" s="37"/>
      <c r="E15" s="41"/>
      <c r="F15" s="20">
        <v>9</v>
      </c>
      <c r="G15" s="21">
        <v>1009</v>
      </c>
      <c r="H15" s="22" t="s">
        <v>11</v>
      </c>
      <c r="I15" s="61">
        <f t="shared" si="9"/>
        <v>4</v>
      </c>
      <c r="J15" s="64" t="s">
        <v>42</v>
      </c>
      <c r="K15" s="64" t="s">
        <v>42</v>
      </c>
      <c r="L15" s="64" t="s">
        <v>42</v>
      </c>
      <c r="M15" s="64" t="str">
        <f t="shared" si="3"/>
        <v>WO</v>
      </c>
      <c r="N15" s="64" t="s">
        <v>42</v>
      </c>
      <c r="O15" s="64" t="s">
        <v>42</v>
      </c>
      <c r="P15" s="64" t="s">
        <v>44</v>
      </c>
      <c r="Q15" s="64" t="s">
        <v>42</v>
      </c>
      <c r="R15" s="64" t="s">
        <v>42</v>
      </c>
      <c r="S15" s="64" t="s">
        <v>42</v>
      </c>
      <c r="T15" s="64" t="str">
        <f t="shared" si="3"/>
        <v>WO</v>
      </c>
      <c r="U15" s="64" t="s">
        <v>42</v>
      </c>
      <c r="V15" s="64" t="s">
        <v>42</v>
      </c>
      <c r="W15" s="64" t="s">
        <v>43</v>
      </c>
      <c r="X15" s="64" t="s">
        <v>43</v>
      </c>
      <c r="Y15" s="64" t="s">
        <v>42</v>
      </c>
      <c r="Z15" s="64" t="s">
        <v>42</v>
      </c>
      <c r="AA15" s="64" t="str">
        <f t="shared" ref="AA15:AH26" si="11">IF(AA$5="Sun","WO","")</f>
        <v>WO</v>
      </c>
      <c r="AB15" s="64" t="s">
        <v>42</v>
      </c>
      <c r="AC15" s="64" t="s">
        <v>42</v>
      </c>
      <c r="AD15" s="64" t="s">
        <v>44</v>
      </c>
      <c r="AE15" s="64" t="s">
        <v>42</v>
      </c>
      <c r="AF15" s="64" t="s">
        <v>42</v>
      </c>
      <c r="AG15" s="64" t="s">
        <v>42</v>
      </c>
      <c r="AH15" s="64" t="str">
        <f t="shared" si="11"/>
        <v>WO</v>
      </c>
      <c r="AI15" s="64" t="s">
        <v>42</v>
      </c>
      <c r="AJ15" s="64" t="s">
        <v>42</v>
      </c>
      <c r="AK15" s="64" t="s">
        <v>42</v>
      </c>
      <c r="AL15" s="64" t="s">
        <v>44</v>
      </c>
      <c r="AM15" s="64" t="s">
        <v>42</v>
      </c>
      <c r="AN15" s="73" t="s">
        <v>42</v>
      </c>
      <c r="AO15" s="39"/>
      <c r="AP15" s="28">
        <v>9</v>
      </c>
      <c r="AQ15" s="21">
        <v>1009</v>
      </c>
      <c r="AR15" s="33" t="str">
        <f t="shared" si="4"/>
        <v>May</v>
      </c>
      <c r="AS15" s="21" t="s">
        <v>11</v>
      </c>
      <c r="AT15" s="29">
        <f t="shared" si="5"/>
        <v>22</v>
      </c>
      <c r="AU15" s="29">
        <f t="shared" si="6"/>
        <v>2</v>
      </c>
      <c r="AV15" s="29">
        <f t="shared" si="7"/>
        <v>3</v>
      </c>
      <c r="AW15" s="29">
        <f t="shared" si="8"/>
        <v>4</v>
      </c>
      <c r="AX15" s="30">
        <f t="shared" si="10"/>
        <v>31</v>
      </c>
      <c r="AY15" s="29">
        <f>MAYReport[[#This Row],[Days]]-MAYReport[[#This Row],[Adsent]]</f>
        <v>29</v>
      </c>
      <c r="AZ15" s="31">
        <v>25000</v>
      </c>
      <c r="BA15" s="32">
        <f>MAYReport[[#This Row],[Salary]]/MAYReport[[#This Row],[Days]]</f>
        <v>806.45161290322585</v>
      </c>
      <c r="BB15" s="31">
        <f>MAYReport[[#This Row],[Perday salary]]*MAYReport[[#This Row],[Adsent]]</f>
        <v>1612.9032258064517</v>
      </c>
      <c r="BC15" s="31">
        <f>MAYReport[[#This Row],[Salary]]-MAYReport[[#This Row],[Detuction ]]</f>
        <v>23387.096774193549</v>
      </c>
      <c r="BD15" s="29"/>
      <c r="BE15" s="39"/>
      <c r="BF15" s="37"/>
      <c r="BG15" s="37"/>
      <c r="BH15" s="37"/>
      <c r="BI15" s="37"/>
      <c r="BJ15" s="37"/>
      <c r="BK15" s="37"/>
    </row>
    <row r="16" spans="4:68" ht="15.6" x14ac:dyDescent="0.3">
      <c r="D16" s="37"/>
      <c r="E16" s="41"/>
      <c r="F16" s="20">
        <v>10</v>
      </c>
      <c r="G16" s="21">
        <v>1010</v>
      </c>
      <c r="H16" s="22" t="s">
        <v>12</v>
      </c>
      <c r="I16" s="61">
        <f t="shared" si="9"/>
        <v>4</v>
      </c>
      <c r="J16" s="64" t="s">
        <v>42</v>
      </c>
      <c r="K16" s="64" t="s">
        <v>43</v>
      </c>
      <c r="L16" s="64" t="s">
        <v>42</v>
      </c>
      <c r="M16" s="64" t="str">
        <f t="shared" ref="M16:T26" si="12">IF(M$5="Sun","WO","")</f>
        <v>WO</v>
      </c>
      <c r="N16" s="64" t="s">
        <v>42</v>
      </c>
      <c r="O16" s="64" t="s">
        <v>42</v>
      </c>
      <c r="P16" s="64" t="s">
        <v>44</v>
      </c>
      <c r="Q16" s="64" t="s">
        <v>42</v>
      </c>
      <c r="R16" s="64" t="s">
        <v>42</v>
      </c>
      <c r="S16" s="64" t="s">
        <v>42</v>
      </c>
      <c r="T16" s="64" t="str">
        <f t="shared" si="12"/>
        <v>WO</v>
      </c>
      <c r="U16" s="64" t="s">
        <v>42</v>
      </c>
      <c r="V16" s="64" t="s">
        <v>42</v>
      </c>
      <c r="W16" s="64" t="s">
        <v>42</v>
      </c>
      <c r="X16" s="64" t="s">
        <v>42</v>
      </c>
      <c r="Y16" s="64" t="s">
        <v>42</v>
      </c>
      <c r="Z16" s="64" t="s">
        <v>42</v>
      </c>
      <c r="AA16" s="64" t="str">
        <f t="shared" si="11"/>
        <v>WO</v>
      </c>
      <c r="AB16" s="64" t="s">
        <v>42</v>
      </c>
      <c r="AC16" s="64" t="s">
        <v>42</v>
      </c>
      <c r="AD16" s="64" t="s">
        <v>44</v>
      </c>
      <c r="AE16" s="64" t="s">
        <v>42</v>
      </c>
      <c r="AF16" s="64" t="s">
        <v>43</v>
      </c>
      <c r="AG16" s="64" t="s">
        <v>42</v>
      </c>
      <c r="AH16" s="64" t="str">
        <f t="shared" si="11"/>
        <v>WO</v>
      </c>
      <c r="AI16" s="64" t="s">
        <v>42</v>
      </c>
      <c r="AJ16" s="64" t="s">
        <v>42</v>
      </c>
      <c r="AK16" s="64" t="s">
        <v>42</v>
      </c>
      <c r="AL16" s="64" t="s">
        <v>44</v>
      </c>
      <c r="AM16" s="64" t="s">
        <v>42</v>
      </c>
      <c r="AN16" s="73" t="s">
        <v>43</v>
      </c>
      <c r="AO16" s="39"/>
      <c r="AP16" s="28">
        <v>10</v>
      </c>
      <c r="AQ16" s="21">
        <v>1010</v>
      </c>
      <c r="AR16" s="33" t="str">
        <f t="shared" si="4"/>
        <v>May</v>
      </c>
      <c r="AS16" s="21" t="s">
        <v>12</v>
      </c>
      <c r="AT16" s="29">
        <f t="shared" si="5"/>
        <v>21</v>
      </c>
      <c r="AU16" s="29">
        <f t="shared" si="6"/>
        <v>3</v>
      </c>
      <c r="AV16" s="29">
        <f t="shared" si="7"/>
        <v>3</v>
      </c>
      <c r="AW16" s="29">
        <f t="shared" si="8"/>
        <v>4</v>
      </c>
      <c r="AX16" s="30">
        <f t="shared" si="10"/>
        <v>31</v>
      </c>
      <c r="AY16" s="29">
        <f>MAYReport[[#This Row],[Days]]-MAYReport[[#This Row],[Adsent]]</f>
        <v>28</v>
      </c>
      <c r="AZ16" s="31">
        <v>45000</v>
      </c>
      <c r="BA16" s="32">
        <f>MAYReport[[#This Row],[Salary]]/MAYReport[[#This Row],[Days]]</f>
        <v>1451.6129032258063</v>
      </c>
      <c r="BB16" s="31">
        <f>MAYReport[[#This Row],[Perday salary]]*MAYReport[[#This Row],[Adsent]]</f>
        <v>4354.8387096774186</v>
      </c>
      <c r="BC16" s="31">
        <f>MAYReport[[#This Row],[Salary]]-MAYReport[[#This Row],[Detuction ]]</f>
        <v>40645.161290322583</v>
      </c>
      <c r="BD16" s="29"/>
      <c r="BE16" s="39"/>
      <c r="BF16" s="37"/>
      <c r="BG16" s="37"/>
      <c r="BH16" s="37"/>
      <c r="BI16" s="37"/>
      <c r="BJ16" s="37"/>
      <c r="BK16" s="37"/>
    </row>
    <row r="17" spans="1:63" ht="15.6" x14ac:dyDescent="0.3">
      <c r="D17" s="37"/>
      <c r="E17" s="41"/>
      <c r="F17" s="20">
        <v>11</v>
      </c>
      <c r="G17" s="21">
        <v>1011</v>
      </c>
      <c r="H17" s="22" t="s">
        <v>13</v>
      </c>
      <c r="I17" s="61">
        <f t="shared" si="9"/>
        <v>4</v>
      </c>
      <c r="J17" s="64" t="s">
        <v>42</v>
      </c>
      <c r="K17" s="64" t="s">
        <v>43</v>
      </c>
      <c r="L17" s="64" t="s">
        <v>42</v>
      </c>
      <c r="M17" s="64" t="str">
        <f t="shared" si="12"/>
        <v>WO</v>
      </c>
      <c r="N17" s="64" t="s">
        <v>42</v>
      </c>
      <c r="O17" s="64" t="s">
        <v>42</v>
      </c>
      <c r="P17" s="64" t="s">
        <v>44</v>
      </c>
      <c r="Q17" s="64" t="s">
        <v>42</v>
      </c>
      <c r="R17" s="64" t="s">
        <v>42</v>
      </c>
      <c r="S17" s="64" t="s">
        <v>42</v>
      </c>
      <c r="T17" s="64" t="str">
        <f t="shared" si="12"/>
        <v>WO</v>
      </c>
      <c r="U17" s="64" t="s">
        <v>42</v>
      </c>
      <c r="V17" s="64" t="s">
        <v>42</v>
      </c>
      <c r="W17" s="64" t="s">
        <v>42</v>
      </c>
      <c r="X17" s="64" t="s">
        <v>42</v>
      </c>
      <c r="Y17" s="64" t="s">
        <v>42</v>
      </c>
      <c r="Z17" s="64" t="s">
        <v>42</v>
      </c>
      <c r="AA17" s="64" t="str">
        <f t="shared" si="11"/>
        <v>WO</v>
      </c>
      <c r="AB17" s="64" t="s">
        <v>42</v>
      </c>
      <c r="AC17" s="64" t="s">
        <v>42</v>
      </c>
      <c r="AD17" s="64" t="s">
        <v>44</v>
      </c>
      <c r="AE17" s="64" t="s">
        <v>42</v>
      </c>
      <c r="AF17" s="64" t="s">
        <v>43</v>
      </c>
      <c r="AG17" s="64" t="s">
        <v>42</v>
      </c>
      <c r="AH17" s="64" t="str">
        <f t="shared" si="11"/>
        <v>WO</v>
      </c>
      <c r="AI17" s="64" t="s">
        <v>42</v>
      </c>
      <c r="AJ17" s="64" t="s">
        <v>42</v>
      </c>
      <c r="AK17" s="64" t="s">
        <v>42</v>
      </c>
      <c r="AL17" s="64" t="s">
        <v>44</v>
      </c>
      <c r="AM17" s="64" t="s">
        <v>42</v>
      </c>
      <c r="AN17" s="73" t="s">
        <v>42</v>
      </c>
      <c r="AO17" s="39"/>
      <c r="AP17" s="28">
        <v>11</v>
      </c>
      <c r="AQ17" s="21">
        <v>1011</v>
      </c>
      <c r="AR17" s="33" t="str">
        <f t="shared" si="4"/>
        <v>May</v>
      </c>
      <c r="AS17" s="21" t="s">
        <v>13</v>
      </c>
      <c r="AT17" s="29">
        <f t="shared" si="5"/>
        <v>22</v>
      </c>
      <c r="AU17" s="29">
        <f t="shared" si="6"/>
        <v>2</v>
      </c>
      <c r="AV17" s="29">
        <f t="shared" si="7"/>
        <v>3</v>
      </c>
      <c r="AW17" s="29">
        <f t="shared" si="8"/>
        <v>4</v>
      </c>
      <c r="AX17" s="30">
        <f t="shared" si="10"/>
        <v>31</v>
      </c>
      <c r="AY17" s="29">
        <f>MAYReport[[#This Row],[Days]]-MAYReport[[#This Row],[Adsent]]</f>
        <v>29</v>
      </c>
      <c r="AZ17" s="31">
        <v>48000</v>
      </c>
      <c r="BA17" s="32">
        <f>MAYReport[[#This Row],[Salary]]/MAYReport[[#This Row],[Days]]</f>
        <v>1548.3870967741937</v>
      </c>
      <c r="BB17" s="31">
        <f>MAYReport[[#This Row],[Perday salary]]*MAYReport[[#This Row],[Adsent]]</f>
        <v>3096.7741935483873</v>
      </c>
      <c r="BC17" s="31">
        <f>MAYReport[[#This Row],[Salary]]-MAYReport[[#This Row],[Detuction ]]</f>
        <v>44903.225806451614</v>
      </c>
      <c r="BD17" s="29"/>
      <c r="BE17" s="39"/>
      <c r="BF17" s="37"/>
      <c r="BG17" s="37"/>
      <c r="BH17" s="37"/>
      <c r="BI17" s="37"/>
      <c r="BJ17" s="37"/>
      <c r="BK17" s="37"/>
    </row>
    <row r="18" spans="1:63" ht="15.6" x14ac:dyDescent="0.3">
      <c r="D18" s="37"/>
      <c r="E18" s="41"/>
      <c r="F18" s="20">
        <v>12</v>
      </c>
      <c r="G18" s="21">
        <v>1012</v>
      </c>
      <c r="H18" s="22" t="s">
        <v>14</v>
      </c>
      <c r="I18" s="61">
        <f t="shared" si="9"/>
        <v>4</v>
      </c>
      <c r="J18" s="64" t="s">
        <v>42</v>
      </c>
      <c r="K18" s="64" t="s">
        <v>42</v>
      </c>
      <c r="L18" s="64" t="s">
        <v>42</v>
      </c>
      <c r="M18" s="64" t="str">
        <f t="shared" si="12"/>
        <v>WO</v>
      </c>
      <c r="N18" s="64" t="s">
        <v>42</v>
      </c>
      <c r="O18" s="64" t="s">
        <v>42</v>
      </c>
      <c r="P18" s="64" t="s">
        <v>44</v>
      </c>
      <c r="Q18" s="64" t="s">
        <v>42</v>
      </c>
      <c r="R18" s="64" t="s">
        <v>42</v>
      </c>
      <c r="S18" s="64" t="s">
        <v>42</v>
      </c>
      <c r="T18" s="64" t="str">
        <f t="shared" si="12"/>
        <v>WO</v>
      </c>
      <c r="U18" s="64" t="s">
        <v>42</v>
      </c>
      <c r="V18" s="64" t="s">
        <v>42</v>
      </c>
      <c r="W18" s="64" t="s">
        <v>42</v>
      </c>
      <c r="X18" s="64" t="s">
        <v>43</v>
      </c>
      <c r="Y18" s="64" t="s">
        <v>42</v>
      </c>
      <c r="Z18" s="64" t="s">
        <v>42</v>
      </c>
      <c r="AA18" s="64" t="str">
        <f t="shared" si="11"/>
        <v>WO</v>
      </c>
      <c r="AB18" s="64" t="s">
        <v>42</v>
      </c>
      <c r="AC18" s="64" t="s">
        <v>42</v>
      </c>
      <c r="AD18" s="64" t="s">
        <v>44</v>
      </c>
      <c r="AE18" s="64" t="s">
        <v>42</v>
      </c>
      <c r="AF18" s="64" t="s">
        <v>42</v>
      </c>
      <c r="AG18" s="64" t="s">
        <v>42</v>
      </c>
      <c r="AH18" s="64" t="str">
        <f t="shared" si="11"/>
        <v>WO</v>
      </c>
      <c r="AI18" s="64" t="s">
        <v>42</v>
      </c>
      <c r="AJ18" s="64" t="s">
        <v>42</v>
      </c>
      <c r="AK18" s="64" t="s">
        <v>43</v>
      </c>
      <c r="AL18" s="64" t="s">
        <v>44</v>
      </c>
      <c r="AM18" s="64" t="s">
        <v>43</v>
      </c>
      <c r="AN18" s="73" t="s">
        <v>43</v>
      </c>
      <c r="AO18" s="39"/>
      <c r="AP18" s="28">
        <v>12</v>
      </c>
      <c r="AQ18" s="21">
        <v>1012</v>
      </c>
      <c r="AR18" s="33" t="str">
        <f t="shared" si="4"/>
        <v>May</v>
      </c>
      <c r="AS18" s="21" t="s">
        <v>14</v>
      </c>
      <c r="AT18" s="29">
        <f t="shared" si="5"/>
        <v>20</v>
      </c>
      <c r="AU18" s="29">
        <f t="shared" si="6"/>
        <v>4</v>
      </c>
      <c r="AV18" s="29">
        <f t="shared" si="7"/>
        <v>3</v>
      </c>
      <c r="AW18" s="29">
        <f t="shared" si="8"/>
        <v>4</v>
      </c>
      <c r="AX18" s="30">
        <f t="shared" si="10"/>
        <v>31</v>
      </c>
      <c r="AY18" s="29">
        <f>MAYReport[[#This Row],[Days]]-MAYReport[[#This Row],[Adsent]]</f>
        <v>27</v>
      </c>
      <c r="AZ18" s="31">
        <v>52000</v>
      </c>
      <c r="BA18" s="32">
        <f>MAYReport[[#This Row],[Salary]]/MAYReport[[#This Row],[Days]]</f>
        <v>1677.4193548387098</v>
      </c>
      <c r="BB18" s="31">
        <f>MAYReport[[#This Row],[Perday salary]]*MAYReport[[#This Row],[Adsent]]</f>
        <v>6709.677419354839</v>
      </c>
      <c r="BC18" s="31">
        <f>MAYReport[[#This Row],[Salary]]-MAYReport[[#This Row],[Detuction ]]</f>
        <v>45290.322580645159</v>
      </c>
      <c r="BD18" s="29"/>
      <c r="BE18" s="39"/>
      <c r="BF18" s="37"/>
      <c r="BG18" s="37"/>
      <c r="BH18" s="37"/>
      <c r="BI18" s="37"/>
      <c r="BJ18" s="37"/>
      <c r="BK18" s="37"/>
    </row>
    <row r="19" spans="1:63" ht="15.6" x14ac:dyDescent="0.3">
      <c r="D19" s="37"/>
      <c r="E19" s="41"/>
      <c r="F19" s="20">
        <v>13</v>
      </c>
      <c r="G19" s="21">
        <v>1013</v>
      </c>
      <c r="H19" s="22" t="s">
        <v>15</v>
      </c>
      <c r="I19" s="61">
        <f t="shared" si="9"/>
        <v>4</v>
      </c>
      <c r="J19" s="64" t="s">
        <v>42</v>
      </c>
      <c r="K19" s="64" t="s">
        <v>42</v>
      </c>
      <c r="L19" s="64" t="s">
        <v>42</v>
      </c>
      <c r="M19" s="64" t="str">
        <f t="shared" si="12"/>
        <v>WO</v>
      </c>
      <c r="N19" s="64" t="s">
        <v>42</v>
      </c>
      <c r="O19" s="64" t="s">
        <v>42</v>
      </c>
      <c r="P19" s="64" t="s">
        <v>44</v>
      </c>
      <c r="Q19" s="64" t="s">
        <v>42</v>
      </c>
      <c r="R19" s="64" t="s">
        <v>42</v>
      </c>
      <c r="S19" s="64" t="s">
        <v>42</v>
      </c>
      <c r="T19" s="64" t="str">
        <f t="shared" si="12"/>
        <v>WO</v>
      </c>
      <c r="U19" s="64" t="s">
        <v>42</v>
      </c>
      <c r="V19" s="64" t="s">
        <v>42</v>
      </c>
      <c r="W19" s="64" t="s">
        <v>42</v>
      </c>
      <c r="X19" s="64" t="s">
        <v>42</v>
      </c>
      <c r="Y19" s="64" t="s">
        <v>42</v>
      </c>
      <c r="Z19" s="64" t="s">
        <v>42</v>
      </c>
      <c r="AA19" s="64" t="str">
        <f t="shared" si="11"/>
        <v>WO</v>
      </c>
      <c r="AB19" s="64" t="s">
        <v>42</v>
      </c>
      <c r="AC19" s="64" t="s">
        <v>42</v>
      </c>
      <c r="AD19" s="64" t="s">
        <v>44</v>
      </c>
      <c r="AE19" s="64" t="s">
        <v>42</v>
      </c>
      <c r="AF19" s="64" t="s">
        <v>42</v>
      </c>
      <c r="AG19" s="64" t="s">
        <v>42</v>
      </c>
      <c r="AH19" s="64" t="str">
        <f t="shared" si="11"/>
        <v>WO</v>
      </c>
      <c r="AI19" s="64" t="s">
        <v>42</v>
      </c>
      <c r="AJ19" s="64" t="s">
        <v>42</v>
      </c>
      <c r="AK19" s="64" t="s">
        <v>42</v>
      </c>
      <c r="AL19" s="64" t="s">
        <v>44</v>
      </c>
      <c r="AM19" s="64" t="s">
        <v>43</v>
      </c>
      <c r="AN19" s="73" t="s">
        <v>43</v>
      </c>
      <c r="AO19" s="39"/>
      <c r="AP19" s="28">
        <v>13</v>
      </c>
      <c r="AQ19" s="21">
        <v>1013</v>
      </c>
      <c r="AR19" s="33" t="str">
        <f t="shared" si="4"/>
        <v>May</v>
      </c>
      <c r="AS19" s="21" t="s">
        <v>15</v>
      </c>
      <c r="AT19" s="29">
        <f t="shared" si="5"/>
        <v>22</v>
      </c>
      <c r="AU19" s="29">
        <f t="shared" si="6"/>
        <v>2</v>
      </c>
      <c r="AV19" s="29">
        <f t="shared" si="7"/>
        <v>3</v>
      </c>
      <c r="AW19" s="29">
        <f t="shared" si="8"/>
        <v>4</v>
      </c>
      <c r="AX19" s="30">
        <f t="shared" si="10"/>
        <v>31</v>
      </c>
      <c r="AY19" s="29">
        <f>MAYReport[[#This Row],[Days]]-MAYReport[[#This Row],[Adsent]]</f>
        <v>29</v>
      </c>
      <c r="AZ19" s="31">
        <v>42000</v>
      </c>
      <c r="BA19" s="32">
        <f>MAYReport[[#This Row],[Salary]]/MAYReport[[#This Row],[Days]]</f>
        <v>1354.8387096774193</v>
      </c>
      <c r="BB19" s="31">
        <f>MAYReport[[#This Row],[Perday salary]]*MAYReport[[#This Row],[Adsent]]</f>
        <v>2709.6774193548385</v>
      </c>
      <c r="BC19" s="31">
        <f>MAYReport[[#This Row],[Salary]]-MAYReport[[#This Row],[Detuction ]]</f>
        <v>39290.322580645159</v>
      </c>
      <c r="BD19" s="29"/>
      <c r="BE19" s="39"/>
      <c r="BF19" s="37"/>
      <c r="BG19" s="37"/>
      <c r="BH19" s="37"/>
      <c r="BI19" s="37"/>
      <c r="BJ19" s="37"/>
      <c r="BK19" s="37"/>
    </row>
    <row r="20" spans="1:63" ht="15.6" x14ac:dyDescent="0.3">
      <c r="D20" s="37"/>
      <c r="E20" s="41"/>
      <c r="F20" s="20">
        <v>14</v>
      </c>
      <c r="G20" s="21">
        <v>1014</v>
      </c>
      <c r="H20" s="22" t="s">
        <v>16</v>
      </c>
      <c r="I20" s="61">
        <f t="shared" si="9"/>
        <v>4</v>
      </c>
      <c r="J20" s="64" t="s">
        <v>42</v>
      </c>
      <c r="K20" s="64" t="s">
        <v>42</v>
      </c>
      <c r="L20" s="64" t="s">
        <v>42</v>
      </c>
      <c r="M20" s="64" t="str">
        <f t="shared" si="12"/>
        <v>WO</v>
      </c>
      <c r="N20" s="64" t="s">
        <v>42</v>
      </c>
      <c r="O20" s="64" t="s">
        <v>42</v>
      </c>
      <c r="P20" s="64" t="s">
        <v>44</v>
      </c>
      <c r="Q20" s="64" t="s">
        <v>42</v>
      </c>
      <c r="R20" s="64" t="s">
        <v>42</v>
      </c>
      <c r="S20" s="64" t="s">
        <v>42</v>
      </c>
      <c r="T20" s="64" t="str">
        <f t="shared" si="12"/>
        <v>WO</v>
      </c>
      <c r="U20" s="64" t="s">
        <v>42</v>
      </c>
      <c r="V20" s="64" t="s">
        <v>42</v>
      </c>
      <c r="W20" s="64" t="s">
        <v>42</v>
      </c>
      <c r="X20" s="64" t="s">
        <v>42</v>
      </c>
      <c r="Y20" s="64" t="s">
        <v>42</v>
      </c>
      <c r="Z20" s="64" t="s">
        <v>42</v>
      </c>
      <c r="AA20" s="64" t="str">
        <f t="shared" si="11"/>
        <v>WO</v>
      </c>
      <c r="AB20" s="64" t="s">
        <v>42</v>
      </c>
      <c r="AC20" s="64" t="s">
        <v>42</v>
      </c>
      <c r="AD20" s="64" t="s">
        <v>44</v>
      </c>
      <c r="AE20" s="64" t="s">
        <v>42</v>
      </c>
      <c r="AF20" s="64" t="s">
        <v>42</v>
      </c>
      <c r="AG20" s="64" t="s">
        <v>42</v>
      </c>
      <c r="AH20" s="64" t="str">
        <f t="shared" si="11"/>
        <v>WO</v>
      </c>
      <c r="AI20" s="64" t="s">
        <v>42</v>
      </c>
      <c r="AJ20" s="64" t="s">
        <v>42</v>
      </c>
      <c r="AK20" s="64" t="s">
        <v>42</v>
      </c>
      <c r="AL20" s="64" t="s">
        <v>44</v>
      </c>
      <c r="AM20" s="64" t="s">
        <v>42</v>
      </c>
      <c r="AN20" s="73" t="s">
        <v>42</v>
      </c>
      <c r="AO20" s="39"/>
      <c r="AP20" s="28">
        <v>14</v>
      </c>
      <c r="AQ20" s="21">
        <v>1014</v>
      </c>
      <c r="AR20" s="33" t="str">
        <f t="shared" si="4"/>
        <v>May</v>
      </c>
      <c r="AS20" s="21" t="s">
        <v>16</v>
      </c>
      <c r="AT20" s="29">
        <f t="shared" si="5"/>
        <v>24</v>
      </c>
      <c r="AU20" s="29">
        <f t="shared" si="6"/>
        <v>0</v>
      </c>
      <c r="AV20" s="29">
        <f t="shared" si="7"/>
        <v>3</v>
      </c>
      <c r="AW20" s="29">
        <f t="shared" si="8"/>
        <v>4</v>
      </c>
      <c r="AX20" s="30">
        <f t="shared" si="10"/>
        <v>31</v>
      </c>
      <c r="AY20" s="29">
        <f>MAYReport[[#This Row],[Days]]-MAYReport[[#This Row],[Adsent]]</f>
        <v>31</v>
      </c>
      <c r="AZ20" s="31">
        <v>15000</v>
      </c>
      <c r="BA20" s="32">
        <f>MAYReport[[#This Row],[Salary]]/MAYReport[[#This Row],[Days]]</f>
        <v>483.87096774193549</v>
      </c>
      <c r="BB20" s="31">
        <f>MAYReport[[#This Row],[Perday salary]]*MAYReport[[#This Row],[Adsent]]</f>
        <v>0</v>
      </c>
      <c r="BC20" s="31">
        <f>MAYReport[[#This Row],[Salary]]-MAYReport[[#This Row],[Detuction ]]</f>
        <v>15000</v>
      </c>
      <c r="BD20" s="29"/>
      <c r="BE20" s="39"/>
      <c r="BF20" s="37"/>
      <c r="BG20" s="37"/>
      <c r="BH20" s="37"/>
      <c r="BI20" s="37"/>
      <c r="BJ20" s="37"/>
      <c r="BK20" s="37"/>
    </row>
    <row r="21" spans="1:63" ht="15.6" x14ac:dyDescent="0.3">
      <c r="D21" s="37"/>
      <c r="E21" s="41"/>
      <c r="F21" s="20">
        <v>15</v>
      </c>
      <c r="G21" s="21">
        <v>1015</v>
      </c>
      <c r="H21" s="22" t="s">
        <v>17</v>
      </c>
      <c r="I21" s="61">
        <f t="shared" si="9"/>
        <v>4</v>
      </c>
      <c r="J21" s="64" t="s">
        <v>43</v>
      </c>
      <c r="K21" s="64" t="s">
        <v>42</v>
      </c>
      <c r="L21" s="64" t="s">
        <v>42</v>
      </c>
      <c r="M21" s="64" t="str">
        <f t="shared" si="12"/>
        <v>WO</v>
      </c>
      <c r="N21" s="64" t="s">
        <v>42</v>
      </c>
      <c r="O21" s="64" t="s">
        <v>42</v>
      </c>
      <c r="P21" s="64" t="s">
        <v>44</v>
      </c>
      <c r="Q21" s="64" t="s">
        <v>42</v>
      </c>
      <c r="R21" s="64" t="s">
        <v>42</v>
      </c>
      <c r="S21" s="64" t="s">
        <v>42</v>
      </c>
      <c r="T21" s="64" t="str">
        <f t="shared" si="12"/>
        <v>WO</v>
      </c>
      <c r="U21" s="64" t="s">
        <v>42</v>
      </c>
      <c r="V21" s="64" t="s">
        <v>43</v>
      </c>
      <c r="W21" s="64" t="s">
        <v>42</v>
      </c>
      <c r="X21" s="64" t="s">
        <v>43</v>
      </c>
      <c r="Y21" s="64" t="s">
        <v>42</v>
      </c>
      <c r="Z21" s="64" t="s">
        <v>42</v>
      </c>
      <c r="AA21" s="64" t="str">
        <f t="shared" si="11"/>
        <v>WO</v>
      </c>
      <c r="AB21" s="64" t="s">
        <v>42</v>
      </c>
      <c r="AC21" s="64" t="s">
        <v>42</v>
      </c>
      <c r="AD21" s="64" t="s">
        <v>44</v>
      </c>
      <c r="AE21" s="64" t="s">
        <v>43</v>
      </c>
      <c r="AF21" s="64" t="s">
        <v>42</v>
      </c>
      <c r="AG21" s="64" t="s">
        <v>42</v>
      </c>
      <c r="AH21" s="64" t="str">
        <f t="shared" si="11"/>
        <v>WO</v>
      </c>
      <c r="AI21" s="64" t="s">
        <v>42</v>
      </c>
      <c r="AJ21" s="64" t="s">
        <v>42</v>
      </c>
      <c r="AK21" s="64" t="s">
        <v>42</v>
      </c>
      <c r="AL21" s="64" t="s">
        <v>44</v>
      </c>
      <c r="AM21" s="64" t="s">
        <v>42</v>
      </c>
      <c r="AN21" s="73" t="s">
        <v>42</v>
      </c>
      <c r="AO21" s="39"/>
      <c r="AP21" s="28">
        <v>15</v>
      </c>
      <c r="AQ21" s="21">
        <v>1015</v>
      </c>
      <c r="AR21" s="33" t="str">
        <f t="shared" si="4"/>
        <v>May</v>
      </c>
      <c r="AS21" s="21" t="s">
        <v>17</v>
      </c>
      <c r="AT21" s="29">
        <f t="shared" si="5"/>
        <v>20</v>
      </c>
      <c r="AU21" s="29">
        <f t="shared" si="6"/>
        <v>4</v>
      </c>
      <c r="AV21" s="29">
        <f t="shared" si="7"/>
        <v>3</v>
      </c>
      <c r="AW21" s="29">
        <f t="shared" si="8"/>
        <v>4</v>
      </c>
      <c r="AX21" s="30">
        <f t="shared" si="10"/>
        <v>31</v>
      </c>
      <c r="AY21" s="29">
        <f>MAYReport[[#This Row],[Days]]-MAYReport[[#This Row],[Adsent]]</f>
        <v>27</v>
      </c>
      <c r="AZ21" s="31">
        <v>46000</v>
      </c>
      <c r="BA21" s="32">
        <f>MAYReport[[#This Row],[Salary]]/MAYReport[[#This Row],[Days]]</f>
        <v>1483.8709677419354</v>
      </c>
      <c r="BB21" s="31">
        <f>MAYReport[[#This Row],[Perday salary]]*MAYReport[[#This Row],[Adsent]]</f>
        <v>5935.4838709677415</v>
      </c>
      <c r="BC21" s="31">
        <f>MAYReport[[#This Row],[Salary]]-MAYReport[[#This Row],[Detuction ]]</f>
        <v>40064.516129032258</v>
      </c>
      <c r="BD21" s="29"/>
      <c r="BE21" s="39"/>
      <c r="BF21" s="37"/>
      <c r="BG21" s="37"/>
      <c r="BH21" s="37"/>
      <c r="BI21" s="37"/>
      <c r="BJ21" s="37"/>
      <c r="BK21" s="37"/>
    </row>
    <row r="22" spans="1:63" ht="15.6" x14ac:dyDescent="0.3">
      <c r="D22" s="37"/>
      <c r="E22" s="41"/>
      <c r="F22" s="20">
        <v>16</v>
      </c>
      <c r="G22" s="21">
        <v>1016</v>
      </c>
      <c r="H22" s="22" t="s">
        <v>18</v>
      </c>
      <c r="I22" s="61">
        <f t="shared" si="9"/>
        <v>4</v>
      </c>
      <c r="J22" s="64" t="s">
        <v>42</v>
      </c>
      <c r="K22" s="64" t="s">
        <v>42</v>
      </c>
      <c r="L22" s="64" t="s">
        <v>42</v>
      </c>
      <c r="M22" s="64" t="str">
        <f t="shared" si="12"/>
        <v>WO</v>
      </c>
      <c r="N22" s="64" t="s">
        <v>42</v>
      </c>
      <c r="O22" s="64" t="s">
        <v>42</v>
      </c>
      <c r="P22" s="64" t="s">
        <v>44</v>
      </c>
      <c r="Q22" s="64" t="s">
        <v>42</v>
      </c>
      <c r="R22" s="64" t="s">
        <v>42</v>
      </c>
      <c r="S22" s="64" t="s">
        <v>42</v>
      </c>
      <c r="T22" s="64" t="str">
        <f t="shared" si="12"/>
        <v>WO</v>
      </c>
      <c r="U22" s="64" t="s">
        <v>42</v>
      </c>
      <c r="V22" s="64" t="s">
        <v>42</v>
      </c>
      <c r="W22" s="64" t="s">
        <v>42</v>
      </c>
      <c r="X22" s="64" t="s">
        <v>42</v>
      </c>
      <c r="Y22" s="64" t="s">
        <v>42</v>
      </c>
      <c r="Z22" s="64" t="s">
        <v>42</v>
      </c>
      <c r="AA22" s="64" t="str">
        <f t="shared" si="11"/>
        <v>WO</v>
      </c>
      <c r="AB22" s="64" t="s">
        <v>42</v>
      </c>
      <c r="AC22" s="64" t="s">
        <v>42</v>
      </c>
      <c r="AD22" s="64" t="s">
        <v>44</v>
      </c>
      <c r="AE22" s="64" t="s">
        <v>42</v>
      </c>
      <c r="AF22" s="64" t="s">
        <v>42</v>
      </c>
      <c r="AG22" s="64" t="s">
        <v>42</v>
      </c>
      <c r="AH22" s="64" t="str">
        <f t="shared" si="11"/>
        <v>WO</v>
      </c>
      <c r="AI22" s="64" t="s">
        <v>42</v>
      </c>
      <c r="AJ22" s="64" t="s">
        <v>42</v>
      </c>
      <c r="AK22" s="64" t="s">
        <v>42</v>
      </c>
      <c r="AL22" s="64" t="s">
        <v>44</v>
      </c>
      <c r="AM22" s="64" t="s">
        <v>42</v>
      </c>
      <c r="AN22" s="73" t="s">
        <v>42</v>
      </c>
      <c r="AO22" s="39"/>
      <c r="AP22" s="28">
        <v>16</v>
      </c>
      <c r="AQ22" s="21">
        <v>1016</v>
      </c>
      <c r="AR22" s="33" t="str">
        <f t="shared" si="4"/>
        <v>May</v>
      </c>
      <c r="AS22" s="21" t="s">
        <v>18</v>
      </c>
      <c r="AT22" s="29">
        <f t="shared" si="5"/>
        <v>24</v>
      </c>
      <c r="AU22" s="29">
        <f t="shared" si="6"/>
        <v>0</v>
      </c>
      <c r="AV22" s="29">
        <f t="shared" si="7"/>
        <v>3</v>
      </c>
      <c r="AW22" s="29">
        <f t="shared" si="8"/>
        <v>4</v>
      </c>
      <c r="AX22" s="30">
        <f t="shared" si="10"/>
        <v>31</v>
      </c>
      <c r="AY22" s="29">
        <f>MAYReport[[#This Row],[Days]]-MAYReport[[#This Row],[Adsent]]</f>
        <v>31</v>
      </c>
      <c r="AZ22" s="31">
        <v>52000</v>
      </c>
      <c r="BA22" s="32">
        <f>MAYReport[[#This Row],[Salary]]/MAYReport[[#This Row],[Days]]</f>
        <v>1677.4193548387098</v>
      </c>
      <c r="BB22" s="31">
        <f>MAYReport[[#This Row],[Perday salary]]*MAYReport[[#This Row],[Adsent]]</f>
        <v>0</v>
      </c>
      <c r="BC22" s="31">
        <f>MAYReport[[#This Row],[Salary]]-MAYReport[[#This Row],[Detuction ]]</f>
        <v>52000</v>
      </c>
      <c r="BD22" s="29"/>
      <c r="BE22" s="39"/>
      <c r="BF22" s="37"/>
      <c r="BG22" s="37"/>
      <c r="BH22" s="37"/>
      <c r="BI22" s="37"/>
      <c r="BJ22" s="37"/>
      <c r="BK22" s="37"/>
    </row>
    <row r="23" spans="1:63" ht="15.6" x14ac:dyDescent="0.3">
      <c r="D23" s="37"/>
      <c r="E23" s="41"/>
      <c r="F23" s="20">
        <v>17</v>
      </c>
      <c r="G23" s="21">
        <v>1017</v>
      </c>
      <c r="H23" s="22" t="s">
        <v>19</v>
      </c>
      <c r="I23" s="61">
        <f t="shared" si="9"/>
        <v>4</v>
      </c>
      <c r="J23" s="64" t="s">
        <v>42</v>
      </c>
      <c r="K23" s="64" t="s">
        <v>42</v>
      </c>
      <c r="L23" s="64" t="s">
        <v>42</v>
      </c>
      <c r="M23" s="64" t="str">
        <f t="shared" si="12"/>
        <v>WO</v>
      </c>
      <c r="N23" s="64" t="s">
        <v>42</v>
      </c>
      <c r="O23" s="64" t="s">
        <v>42</v>
      </c>
      <c r="P23" s="64" t="s">
        <v>44</v>
      </c>
      <c r="Q23" s="64" t="s">
        <v>42</v>
      </c>
      <c r="R23" s="64" t="s">
        <v>42</v>
      </c>
      <c r="S23" s="64" t="s">
        <v>42</v>
      </c>
      <c r="T23" s="64" t="str">
        <f t="shared" si="12"/>
        <v>WO</v>
      </c>
      <c r="U23" s="64" t="s">
        <v>42</v>
      </c>
      <c r="V23" s="64" t="s">
        <v>42</v>
      </c>
      <c r="W23" s="64" t="s">
        <v>42</v>
      </c>
      <c r="X23" s="64" t="s">
        <v>42</v>
      </c>
      <c r="Y23" s="64" t="s">
        <v>42</v>
      </c>
      <c r="Z23" s="64" t="s">
        <v>42</v>
      </c>
      <c r="AA23" s="64" t="str">
        <f t="shared" si="11"/>
        <v>WO</v>
      </c>
      <c r="AB23" s="64" t="s">
        <v>42</v>
      </c>
      <c r="AC23" s="64" t="s">
        <v>42</v>
      </c>
      <c r="AD23" s="64" t="s">
        <v>44</v>
      </c>
      <c r="AE23" s="64" t="s">
        <v>42</v>
      </c>
      <c r="AF23" s="64" t="s">
        <v>42</v>
      </c>
      <c r="AG23" s="64" t="s">
        <v>42</v>
      </c>
      <c r="AH23" s="64" t="str">
        <f t="shared" si="11"/>
        <v>WO</v>
      </c>
      <c r="AI23" s="64" t="s">
        <v>42</v>
      </c>
      <c r="AJ23" s="64" t="s">
        <v>42</v>
      </c>
      <c r="AK23" s="64" t="s">
        <v>42</v>
      </c>
      <c r="AL23" s="64" t="s">
        <v>44</v>
      </c>
      <c r="AM23" s="64" t="s">
        <v>42</v>
      </c>
      <c r="AN23" s="73" t="s">
        <v>43</v>
      </c>
      <c r="AO23" s="39"/>
      <c r="AP23" s="28">
        <v>17</v>
      </c>
      <c r="AQ23" s="21">
        <v>1017</v>
      </c>
      <c r="AR23" s="33" t="str">
        <f t="shared" si="4"/>
        <v>May</v>
      </c>
      <c r="AS23" s="21" t="s">
        <v>19</v>
      </c>
      <c r="AT23" s="29">
        <f t="shared" si="5"/>
        <v>23</v>
      </c>
      <c r="AU23" s="29">
        <f t="shared" si="6"/>
        <v>1</v>
      </c>
      <c r="AV23" s="29">
        <f t="shared" si="7"/>
        <v>3</v>
      </c>
      <c r="AW23" s="29">
        <f t="shared" si="8"/>
        <v>4</v>
      </c>
      <c r="AX23" s="30">
        <f t="shared" si="10"/>
        <v>31</v>
      </c>
      <c r="AY23" s="29">
        <f>MAYReport[[#This Row],[Days]]-MAYReport[[#This Row],[Adsent]]</f>
        <v>30</v>
      </c>
      <c r="AZ23" s="31">
        <v>42000</v>
      </c>
      <c r="BA23" s="32">
        <f>MAYReport[[#This Row],[Salary]]/MAYReport[[#This Row],[Days]]</f>
        <v>1354.8387096774193</v>
      </c>
      <c r="BB23" s="31">
        <f>MAYReport[[#This Row],[Perday salary]]*MAYReport[[#This Row],[Adsent]]</f>
        <v>1354.8387096774193</v>
      </c>
      <c r="BC23" s="31">
        <f>MAYReport[[#This Row],[Salary]]-MAYReport[[#This Row],[Detuction ]]</f>
        <v>40645.161290322583</v>
      </c>
      <c r="BD23" s="29"/>
      <c r="BE23" s="39"/>
      <c r="BF23" s="37"/>
      <c r="BG23" s="37"/>
      <c r="BH23" s="37"/>
      <c r="BI23" s="37"/>
      <c r="BJ23" s="37"/>
      <c r="BK23" s="37"/>
    </row>
    <row r="24" spans="1:63" ht="15.6" x14ac:dyDescent="0.3">
      <c r="D24" s="37"/>
      <c r="E24" s="41"/>
      <c r="F24" s="20">
        <v>18</v>
      </c>
      <c r="G24" s="21">
        <v>1018</v>
      </c>
      <c r="H24" s="22" t="s">
        <v>20</v>
      </c>
      <c r="I24" s="61">
        <f t="shared" si="9"/>
        <v>4</v>
      </c>
      <c r="J24" s="64" t="s">
        <v>42</v>
      </c>
      <c r="K24" s="64" t="s">
        <v>42</v>
      </c>
      <c r="L24" s="64" t="s">
        <v>42</v>
      </c>
      <c r="M24" s="64" t="str">
        <f t="shared" si="12"/>
        <v>WO</v>
      </c>
      <c r="N24" s="64" t="s">
        <v>42</v>
      </c>
      <c r="O24" s="64" t="s">
        <v>42</v>
      </c>
      <c r="P24" s="64" t="s">
        <v>44</v>
      </c>
      <c r="Q24" s="64" t="s">
        <v>42</v>
      </c>
      <c r="R24" s="64" t="s">
        <v>42</v>
      </c>
      <c r="S24" s="64" t="s">
        <v>42</v>
      </c>
      <c r="T24" s="64" t="str">
        <f t="shared" si="12"/>
        <v>WO</v>
      </c>
      <c r="U24" s="64" t="s">
        <v>42</v>
      </c>
      <c r="V24" s="64" t="s">
        <v>42</v>
      </c>
      <c r="W24" s="64" t="s">
        <v>42</v>
      </c>
      <c r="X24" s="64" t="s">
        <v>42</v>
      </c>
      <c r="Y24" s="64" t="s">
        <v>42</v>
      </c>
      <c r="Z24" s="64" t="s">
        <v>42</v>
      </c>
      <c r="AA24" s="64" t="str">
        <f t="shared" si="11"/>
        <v>WO</v>
      </c>
      <c r="AB24" s="64" t="s">
        <v>42</v>
      </c>
      <c r="AC24" s="64" t="s">
        <v>42</v>
      </c>
      <c r="AD24" s="64" t="s">
        <v>44</v>
      </c>
      <c r="AE24" s="64" t="s">
        <v>42</v>
      </c>
      <c r="AF24" s="64" t="s">
        <v>42</v>
      </c>
      <c r="AG24" s="64" t="s">
        <v>42</v>
      </c>
      <c r="AH24" s="64" t="str">
        <f t="shared" si="11"/>
        <v>WO</v>
      </c>
      <c r="AI24" s="64" t="s">
        <v>42</v>
      </c>
      <c r="AJ24" s="64" t="s">
        <v>42</v>
      </c>
      <c r="AK24" s="64" t="s">
        <v>42</v>
      </c>
      <c r="AL24" s="64" t="s">
        <v>44</v>
      </c>
      <c r="AM24" s="64" t="s">
        <v>42</v>
      </c>
      <c r="AN24" s="73" t="s">
        <v>42</v>
      </c>
      <c r="AO24" s="39"/>
      <c r="AP24" s="28">
        <v>18</v>
      </c>
      <c r="AQ24" s="21">
        <v>1018</v>
      </c>
      <c r="AR24" s="33" t="str">
        <f t="shared" si="4"/>
        <v>May</v>
      </c>
      <c r="AS24" s="21" t="s">
        <v>20</v>
      </c>
      <c r="AT24" s="29">
        <f t="shared" si="5"/>
        <v>24</v>
      </c>
      <c r="AU24" s="29">
        <f t="shared" si="6"/>
        <v>0</v>
      </c>
      <c r="AV24" s="29">
        <f t="shared" si="7"/>
        <v>3</v>
      </c>
      <c r="AW24" s="29">
        <f t="shared" si="8"/>
        <v>4</v>
      </c>
      <c r="AX24" s="30">
        <f t="shared" si="10"/>
        <v>31</v>
      </c>
      <c r="AY24" s="29">
        <f>MAYReport[[#This Row],[Days]]-MAYReport[[#This Row],[Adsent]]</f>
        <v>31</v>
      </c>
      <c r="AZ24" s="31">
        <v>62000</v>
      </c>
      <c r="BA24" s="32">
        <f>MAYReport[[#This Row],[Salary]]/MAYReport[[#This Row],[Days]]</f>
        <v>2000</v>
      </c>
      <c r="BB24" s="31">
        <f>MAYReport[[#This Row],[Perday salary]]*MAYReport[[#This Row],[Adsent]]</f>
        <v>0</v>
      </c>
      <c r="BC24" s="31">
        <f>MAYReport[[#This Row],[Salary]]-MAYReport[[#This Row],[Detuction ]]</f>
        <v>62000</v>
      </c>
      <c r="BD24" s="29"/>
      <c r="BE24" s="39"/>
      <c r="BF24" s="37"/>
      <c r="BG24" s="37"/>
      <c r="BH24" s="37"/>
      <c r="BI24" s="37"/>
      <c r="BJ24" s="37"/>
      <c r="BK24" s="37"/>
    </row>
    <row r="25" spans="1:63" ht="15.6" x14ac:dyDescent="0.3">
      <c r="D25" s="37"/>
      <c r="E25" s="41"/>
      <c r="F25" s="20">
        <v>19</v>
      </c>
      <c r="G25" s="21">
        <v>1019</v>
      </c>
      <c r="H25" s="22" t="s">
        <v>21</v>
      </c>
      <c r="I25" s="61">
        <f t="shared" si="9"/>
        <v>4</v>
      </c>
      <c r="J25" s="64" t="s">
        <v>42</v>
      </c>
      <c r="K25" s="64" t="s">
        <v>42</v>
      </c>
      <c r="L25" s="64" t="s">
        <v>42</v>
      </c>
      <c r="M25" s="64" t="str">
        <f t="shared" si="12"/>
        <v>WO</v>
      </c>
      <c r="N25" s="64" t="s">
        <v>42</v>
      </c>
      <c r="O25" s="64" t="s">
        <v>42</v>
      </c>
      <c r="P25" s="64" t="s">
        <v>44</v>
      </c>
      <c r="Q25" s="64" t="s">
        <v>42</v>
      </c>
      <c r="R25" s="64" t="s">
        <v>42</v>
      </c>
      <c r="S25" s="64" t="s">
        <v>42</v>
      </c>
      <c r="T25" s="64" t="str">
        <f t="shared" si="12"/>
        <v>WO</v>
      </c>
      <c r="U25" s="64" t="s">
        <v>42</v>
      </c>
      <c r="V25" s="64" t="s">
        <v>42</v>
      </c>
      <c r="W25" s="64" t="s">
        <v>42</v>
      </c>
      <c r="X25" s="64" t="s">
        <v>42</v>
      </c>
      <c r="Y25" s="64" t="s">
        <v>42</v>
      </c>
      <c r="Z25" s="64" t="s">
        <v>42</v>
      </c>
      <c r="AA25" s="64" t="str">
        <f t="shared" si="11"/>
        <v>WO</v>
      </c>
      <c r="AB25" s="64" t="s">
        <v>42</v>
      </c>
      <c r="AC25" s="64" t="s">
        <v>42</v>
      </c>
      <c r="AD25" s="64" t="s">
        <v>44</v>
      </c>
      <c r="AE25" s="64" t="s">
        <v>42</v>
      </c>
      <c r="AF25" s="64" t="s">
        <v>42</v>
      </c>
      <c r="AG25" s="64" t="s">
        <v>42</v>
      </c>
      <c r="AH25" s="64" t="str">
        <f t="shared" si="11"/>
        <v>WO</v>
      </c>
      <c r="AI25" s="64" t="s">
        <v>42</v>
      </c>
      <c r="AJ25" s="64" t="s">
        <v>42</v>
      </c>
      <c r="AK25" s="64" t="s">
        <v>42</v>
      </c>
      <c r="AL25" s="64" t="s">
        <v>44</v>
      </c>
      <c r="AM25" s="64" t="s">
        <v>42</v>
      </c>
      <c r="AN25" s="73" t="s">
        <v>42</v>
      </c>
      <c r="AO25" s="39"/>
      <c r="AP25" s="28">
        <v>19</v>
      </c>
      <c r="AQ25" s="21">
        <v>1019</v>
      </c>
      <c r="AR25" s="33" t="str">
        <f t="shared" si="4"/>
        <v>May</v>
      </c>
      <c r="AS25" s="21" t="s">
        <v>21</v>
      </c>
      <c r="AT25" s="29">
        <f t="shared" si="5"/>
        <v>24</v>
      </c>
      <c r="AU25" s="29">
        <f t="shared" si="6"/>
        <v>0</v>
      </c>
      <c r="AV25" s="29">
        <f t="shared" si="7"/>
        <v>3</v>
      </c>
      <c r="AW25" s="29">
        <f t="shared" si="8"/>
        <v>4</v>
      </c>
      <c r="AX25" s="30">
        <f t="shared" si="10"/>
        <v>31</v>
      </c>
      <c r="AY25" s="29">
        <f>MAYReport[[#This Row],[Days]]-MAYReport[[#This Row],[Adsent]]</f>
        <v>31</v>
      </c>
      <c r="AZ25" s="31">
        <v>41000</v>
      </c>
      <c r="BA25" s="32">
        <f>MAYReport[[#This Row],[Salary]]/MAYReport[[#This Row],[Days]]</f>
        <v>1322.5806451612902</v>
      </c>
      <c r="BB25" s="31">
        <f>MAYReport[[#This Row],[Perday salary]]*MAYReport[[#This Row],[Adsent]]</f>
        <v>0</v>
      </c>
      <c r="BC25" s="31">
        <f>MAYReport[[#This Row],[Salary]]-MAYReport[[#This Row],[Detuction ]]</f>
        <v>41000</v>
      </c>
      <c r="BD25" s="29"/>
      <c r="BE25" s="39"/>
      <c r="BF25" s="37"/>
      <c r="BG25" s="37"/>
      <c r="BH25" s="37"/>
      <c r="BI25" s="37"/>
      <c r="BJ25" s="37"/>
      <c r="BK25" s="37"/>
    </row>
    <row r="26" spans="1:63" ht="16.2" thickBot="1" x14ac:dyDescent="0.35">
      <c r="D26" s="37"/>
      <c r="E26" s="41"/>
      <c r="F26" s="24">
        <v>20</v>
      </c>
      <c r="G26" s="25">
        <v>1020</v>
      </c>
      <c r="H26" s="26" t="s">
        <v>22</v>
      </c>
      <c r="I26" s="62">
        <f t="shared" si="9"/>
        <v>4</v>
      </c>
      <c r="J26" s="65" t="s">
        <v>42</v>
      </c>
      <c r="K26" s="65" t="s">
        <v>42</v>
      </c>
      <c r="L26" s="65" t="s">
        <v>42</v>
      </c>
      <c r="M26" s="65" t="str">
        <f t="shared" si="12"/>
        <v>WO</v>
      </c>
      <c r="N26" s="65" t="s">
        <v>42</v>
      </c>
      <c r="O26" s="65" t="s">
        <v>42</v>
      </c>
      <c r="P26" s="65" t="s">
        <v>44</v>
      </c>
      <c r="Q26" s="65" t="s">
        <v>42</v>
      </c>
      <c r="R26" s="65" t="s">
        <v>42</v>
      </c>
      <c r="S26" s="65" t="s">
        <v>42</v>
      </c>
      <c r="T26" s="65" t="str">
        <f t="shared" si="12"/>
        <v>WO</v>
      </c>
      <c r="U26" s="65" t="s">
        <v>42</v>
      </c>
      <c r="V26" s="65" t="s">
        <v>42</v>
      </c>
      <c r="W26" s="65" t="s">
        <v>42</v>
      </c>
      <c r="X26" s="65" t="s">
        <v>42</v>
      </c>
      <c r="Y26" s="65" t="s">
        <v>42</v>
      </c>
      <c r="Z26" s="65" t="s">
        <v>42</v>
      </c>
      <c r="AA26" s="65" t="str">
        <f t="shared" si="11"/>
        <v>WO</v>
      </c>
      <c r="AB26" s="65" t="s">
        <v>42</v>
      </c>
      <c r="AC26" s="65" t="s">
        <v>42</v>
      </c>
      <c r="AD26" s="65" t="s">
        <v>44</v>
      </c>
      <c r="AE26" s="65" t="s">
        <v>42</v>
      </c>
      <c r="AF26" s="65" t="s">
        <v>42</v>
      </c>
      <c r="AG26" s="65" t="s">
        <v>42</v>
      </c>
      <c r="AH26" s="65" t="str">
        <f t="shared" si="11"/>
        <v>WO</v>
      </c>
      <c r="AI26" s="65" t="s">
        <v>42</v>
      </c>
      <c r="AJ26" s="65" t="s">
        <v>42</v>
      </c>
      <c r="AK26" s="65" t="s">
        <v>42</v>
      </c>
      <c r="AL26" s="65" t="s">
        <v>44</v>
      </c>
      <c r="AM26" s="65" t="s">
        <v>42</v>
      </c>
      <c r="AN26" s="74" t="s">
        <v>42</v>
      </c>
      <c r="AO26" s="39"/>
      <c r="AP26" s="28">
        <v>20</v>
      </c>
      <c r="AQ26" s="21">
        <v>1020</v>
      </c>
      <c r="AR26" s="33" t="str">
        <f t="shared" si="4"/>
        <v>May</v>
      </c>
      <c r="AS26" s="21" t="s">
        <v>22</v>
      </c>
      <c r="AT26" s="29">
        <f t="shared" si="5"/>
        <v>24</v>
      </c>
      <c r="AU26" s="29">
        <f t="shared" si="6"/>
        <v>0</v>
      </c>
      <c r="AV26" s="29">
        <f t="shared" si="7"/>
        <v>3</v>
      </c>
      <c r="AW26" s="29">
        <f t="shared" si="8"/>
        <v>4</v>
      </c>
      <c r="AX26" s="30">
        <f t="shared" si="10"/>
        <v>31</v>
      </c>
      <c r="AY26" s="29">
        <f>MAYReport[[#This Row],[Days]]-MAYReport[[#This Row],[Adsent]]</f>
        <v>31</v>
      </c>
      <c r="AZ26" s="31">
        <v>30000</v>
      </c>
      <c r="BA26" s="32">
        <f>MAYReport[[#This Row],[Salary]]/MAYReport[[#This Row],[Days]]</f>
        <v>967.74193548387098</v>
      </c>
      <c r="BB26" s="31">
        <f>MAYReport[[#This Row],[Perday salary]]*MAYReport[[#This Row],[Adsent]]</f>
        <v>0</v>
      </c>
      <c r="BC26" s="31">
        <f>MAYReport[[#This Row],[Salary]]-MAYReport[[#This Row],[Detuction ]]</f>
        <v>30000</v>
      </c>
      <c r="BD26" s="29"/>
      <c r="BE26" s="39"/>
      <c r="BF26" s="37"/>
      <c r="BG26" s="37"/>
      <c r="BH26" s="37"/>
      <c r="BI26" s="37"/>
      <c r="BJ26" s="37"/>
      <c r="BK26" s="37"/>
    </row>
    <row r="27" spans="1:63" x14ac:dyDescent="0.3">
      <c r="D27" s="37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  <c r="AA27" s="41"/>
      <c r="AB27" s="41"/>
      <c r="AC27" s="41"/>
      <c r="AD27" s="41"/>
      <c r="AE27" s="41"/>
      <c r="AF27" s="41"/>
      <c r="AG27" s="41"/>
      <c r="AH27" s="41"/>
      <c r="AI27" s="41"/>
      <c r="AJ27" s="41"/>
      <c r="AK27" s="41"/>
      <c r="AL27" s="41"/>
      <c r="AM27" s="41"/>
      <c r="AN27" s="41"/>
      <c r="AO27" s="39"/>
      <c r="AP27" s="39"/>
      <c r="AQ27" s="39"/>
      <c r="AR27" s="39"/>
      <c r="AS27" s="39"/>
      <c r="AT27" s="39"/>
      <c r="AU27" s="39"/>
      <c r="AV27" s="39"/>
      <c r="AW27" s="39"/>
      <c r="AX27" s="39"/>
      <c r="AY27" s="39"/>
      <c r="AZ27" s="39"/>
      <c r="BA27" s="39"/>
      <c r="BB27" s="39"/>
      <c r="BC27" s="39"/>
      <c r="BD27" s="39"/>
      <c r="BE27" s="39"/>
      <c r="BF27" s="37"/>
      <c r="BG27" s="37"/>
      <c r="BH27" s="37"/>
      <c r="BI27" s="37"/>
      <c r="BJ27" s="37"/>
      <c r="BK27" s="37"/>
    </row>
    <row r="28" spans="1:63" x14ac:dyDescent="0.3"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  <c r="AA28" s="37"/>
      <c r="AB28" s="37"/>
      <c r="AC28" s="37"/>
      <c r="AD28" s="37"/>
      <c r="AE28" s="37"/>
      <c r="AF28" s="37"/>
      <c r="AG28" s="37"/>
      <c r="AH28" s="37"/>
      <c r="AI28" s="37"/>
      <c r="AJ28" s="37"/>
      <c r="AK28" s="37"/>
      <c r="AL28" s="37"/>
      <c r="AM28" s="37"/>
      <c r="AN28" s="37"/>
      <c r="AO28" s="37"/>
      <c r="AP28" s="37"/>
      <c r="AQ28" s="37"/>
      <c r="AR28" s="37"/>
      <c r="AS28" s="37"/>
      <c r="AT28" s="37"/>
      <c r="AU28" s="37"/>
      <c r="AV28" s="37"/>
      <c r="AW28" s="37"/>
      <c r="AX28" s="37"/>
      <c r="AY28" s="37"/>
      <c r="AZ28" s="37"/>
      <c r="BA28" s="37"/>
      <c r="BB28" s="37"/>
      <c r="BC28" s="37"/>
      <c r="BD28" s="37"/>
      <c r="BE28" s="37"/>
      <c r="BF28" s="37"/>
      <c r="BG28" s="37"/>
      <c r="BH28" s="37"/>
      <c r="BI28" s="37"/>
      <c r="BJ28" s="37"/>
      <c r="BK28" s="37"/>
    </row>
    <row r="29" spans="1:63" x14ac:dyDescent="0.3"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  <c r="AA29" s="37"/>
      <c r="AB29" s="37"/>
      <c r="AC29" s="37"/>
      <c r="AD29" s="37"/>
      <c r="AE29" s="37"/>
      <c r="AF29" s="37"/>
      <c r="AG29" s="37"/>
      <c r="AH29" s="37"/>
      <c r="AI29" s="37"/>
      <c r="AJ29" s="37"/>
      <c r="AK29" s="37"/>
      <c r="AL29" s="37"/>
      <c r="AM29" s="37"/>
      <c r="AN29" s="37"/>
      <c r="AO29" s="37"/>
      <c r="AP29" s="37"/>
      <c r="AQ29" s="37"/>
      <c r="AR29" s="37"/>
      <c r="AS29" s="37"/>
      <c r="AT29" s="37"/>
      <c r="AU29" s="37"/>
      <c r="AV29" s="37"/>
      <c r="AW29" s="37"/>
      <c r="AX29" s="37"/>
      <c r="AY29" s="37"/>
      <c r="AZ29" s="37"/>
      <c r="BA29" s="37"/>
      <c r="BB29" s="37"/>
      <c r="BC29" s="37"/>
      <c r="BD29" s="37"/>
      <c r="BE29" s="37"/>
      <c r="BF29" s="37"/>
      <c r="BG29" s="37"/>
      <c r="BH29" s="37"/>
      <c r="BI29" s="37"/>
      <c r="BJ29" s="37"/>
      <c r="BK29" s="37"/>
    </row>
    <row r="30" spans="1:63" x14ac:dyDescent="0.3">
      <c r="A30" s="37"/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  <c r="AA30" s="37"/>
      <c r="AB30" s="37"/>
      <c r="AC30" s="37"/>
      <c r="AD30" s="37"/>
      <c r="AE30" s="37"/>
      <c r="AF30" s="37"/>
      <c r="AG30" s="37"/>
      <c r="AH30" s="37"/>
      <c r="AI30" s="37"/>
      <c r="AJ30" s="37"/>
      <c r="AK30" s="37"/>
      <c r="AL30" s="37"/>
      <c r="AM30" s="37"/>
      <c r="AN30" s="37"/>
      <c r="AO30" s="37"/>
      <c r="AP30" s="37"/>
      <c r="AQ30" s="37"/>
      <c r="AR30" s="37"/>
      <c r="AS30" s="37"/>
      <c r="AT30" s="37"/>
      <c r="AU30" s="37"/>
      <c r="AV30" s="37"/>
      <c r="AW30" s="37"/>
      <c r="AX30" s="37"/>
      <c r="AY30" s="37"/>
      <c r="AZ30" s="37"/>
      <c r="BA30" s="37"/>
      <c r="BB30" s="37"/>
      <c r="BC30" s="37"/>
      <c r="BD30" s="37"/>
      <c r="BE30" s="37"/>
      <c r="BF30" s="37"/>
      <c r="BG30" s="37"/>
      <c r="BH30" s="37"/>
      <c r="BI30" s="37"/>
      <c r="BJ30" s="37"/>
      <c r="BK30" s="37"/>
    </row>
    <row r="31" spans="1:63" x14ac:dyDescent="0.3">
      <c r="A31" s="37"/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  <c r="AA31" s="37"/>
      <c r="AB31" s="37"/>
      <c r="AC31" s="37"/>
      <c r="AD31" s="37"/>
      <c r="AE31" s="37"/>
      <c r="AF31" s="37"/>
      <c r="AG31" s="37"/>
      <c r="AH31" s="37"/>
      <c r="AI31" s="37"/>
      <c r="AJ31" s="37"/>
      <c r="AK31" s="37"/>
      <c r="AL31" s="37"/>
      <c r="AM31" s="37"/>
      <c r="AN31" s="37"/>
      <c r="AO31" s="37"/>
      <c r="AP31" s="37"/>
      <c r="AQ31" s="37"/>
      <c r="AR31" s="37"/>
      <c r="AS31" s="37"/>
      <c r="AT31" s="37"/>
      <c r="AU31" s="37"/>
      <c r="AV31" s="37"/>
      <c r="AW31" s="37"/>
      <c r="AX31" s="37"/>
      <c r="AY31" s="37"/>
      <c r="AZ31" s="37"/>
      <c r="BA31" s="37"/>
      <c r="BB31" s="37"/>
      <c r="BC31" s="37"/>
      <c r="BD31" s="37"/>
      <c r="BE31" s="37"/>
      <c r="BF31" s="37"/>
      <c r="BG31" s="37"/>
      <c r="BH31" s="37"/>
      <c r="BI31" s="37"/>
      <c r="BJ31" s="37"/>
      <c r="BK31" s="37"/>
    </row>
    <row r="32" spans="1:63" x14ac:dyDescent="0.3">
      <c r="A32" s="37"/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  <c r="AA32" s="37"/>
      <c r="AB32" s="37"/>
      <c r="AC32" s="37"/>
      <c r="AD32" s="37"/>
      <c r="AE32" s="37"/>
      <c r="AF32" s="37"/>
      <c r="AG32" s="37"/>
      <c r="AH32" s="37"/>
      <c r="AI32" s="37"/>
      <c r="AJ32" s="37"/>
      <c r="AK32" s="37"/>
      <c r="AL32" s="37"/>
      <c r="AM32" s="37"/>
      <c r="AN32" s="37"/>
      <c r="AO32" s="37"/>
      <c r="AP32" s="37"/>
      <c r="AQ32" s="37"/>
      <c r="AR32" s="37"/>
      <c r="AS32" s="37"/>
      <c r="AT32" s="37"/>
      <c r="AU32" s="37"/>
      <c r="AV32" s="37"/>
      <c r="AW32" s="37"/>
      <c r="AX32" s="37"/>
      <c r="AY32" s="37"/>
      <c r="AZ32" s="37"/>
      <c r="BA32" s="37"/>
      <c r="BB32" s="37"/>
      <c r="BC32" s="37"/>
      <c r="BD32" s="37"/>
      <c r="BE32" s="37"/>
      <c r="BF32" s="37"/>
      <c r="BG32" s="37"/>
      <c r="BH32" s="37"/>
      <c r="BI32" s="37"/>
      <c r="BJ32" s="37"/>
      <c r="BK32" s="37"/>
    </row>
    <row r="33" spans="1:63" x14ac:dyDescent="0.3">
      <c r="A33" s="37"/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  <c r="AA33" s="37"/>
      <c r="AB33" s="37"/>
      <c r="AC33" s="37"/>
      <c r="AD33" s="37"/>
      <c r="AE33" s="37"/>
      <c r="AF33" s="37"/>
      <c r="AG33" s="37"/>
      <c r="AH33" s="37"/>
      <c r="AI33" s="37"/>
      <c r="AJ33" s="37"/>
      <c r="AK33" s="37"/>
      <c r="AL33" s="37"/>
      <c r="AM33" s="37"/>
      <c r="AN33" s="37"/>
      <c r="AO33" s="37"/>
      <c r="AP33" s="37"/>
      <c r="AQ33" s="37"/>
      <c r="AR33" s="37"/>
      <c r="AS33" s="37"/>
      <c r="AT33" s="37"/>
      <c r="AU33" s="37"/>
      <c r="AV33" s="37"/>
      <c r="AW33" s="37"/>
      <c r="AX33" s="37"/>
      <c r="AY33" s="37"/>
      <c r="AZ33" s="37"/>
      <c r="BA33" s="37"/>
      <c r="BB33" s="37"/>
      <c r="BC33" s="37"/>
      <c r="BD33" s="37"/>
      <c r="BE33" s="37"/>
      <c r="BF33" s="37"/>
      <c r="BG33" s="37"/>
      <c r="BH33" s="37"/>
      <c r="BI33" s="37"/>
      <c r="BJ33" s="37"/>
      <c r="BK33" s="37"/>
    </row>
    <row r="34" spans="1:63" x14ac:dyDescent="0.3">
      <c r="A34" s="37"/>
      <c r="B34" s="37"/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  <c r="AA34" s="37"/>
      <c r="AB34" s="37"/>
      <c r="AC34" s="37"/>
      <c r="AD34" s="37"/>
      <c r="AE34" s="37"/>
      <c r="AF34" s="37"/>
      <c r="AG34" s="37"/>
      <c r="AH34" s="37"/>
      <c r="AI34" s="37"/>
      <c r="AJ34" s="37"/>
      <c r="AK34" s="37"/>
      <c r="AL34" s="37"/>
      <c r="AM34" s="37"/>
      <c r="AN34" s="37"/>
      <c r="AO34" s="37"/>
      <c r="AP34" s="37"/>
      <c r="AQ34" s="37"/>
      <c r="AR34" s="37"/>
      <c r="AS34" s="37"/>
      <c r="AT34" s="37"/>
      <c r="AU34" s="37"/>
      <c r="AV34" s="37"/>
      <c r="AW34" s="37"/>
      <c r="AX34" s="37"/>
      <c r="AY34" s="37"/>
      <c r="AZ34" s="37"/>
      <c r="BA34" s="37"/>
      <c r="BB34" s="37"/>
      <c r="BC34" s="37"/>
      <c r="BD34" s="37"/>
      <c r="BE34" s="37"/>
      <c r="BF34" s="37"/>
      <c r="BG34" s="37"/>
      <c r="BH34" s="37"/>
      <c r="BI34" s="37"/>
      <c r="BJ34" s="37"/>
      <c r="BK34" s="37"/>
    </row>
    <row r="35" spans="1:63" x14ac:dyDescent="0.3">
      <c r="A35" s="37"/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  <c r="AA35" s="37"/>
      <c r="AB35" s="37"/>
      <c r="AC35" s="37"/>
      <c r="AD35" s="37"/>
      <c r="AE35" s="37"/>
      <c r="AF35" s="37"/>
      <c r="AG35" s="37"/>
      <c r="AH35" s="37"/>
      <c r="AI35" s="37"/>
      <c r="AJ35" s="37"/>
      <c r="AK35" s="37"/>
      <c r="AL35" s="37"/>
      <c r="AM35" s="37"/>
      <c r="AN35" s="37"/>
      <c r="AO35" s="37"/>
      <c r="AP35" s="37"/>
      <c r="AQ35" s="37"/>
      <c r="AR35" s="37"/>
      <c r="AS35" s="37"/>
      <c r="AT35" s="37"/>
      <c r="AU35" s="37"/>
      <c r="AV35" s="37"/>
      <c r="AW35" s="37"/>
      <c r="AX35" s="37"/>
      <c r="AY35" s="37"/>
      <c r="AZ35" s="37"/>
      <c r="BA35" s="37"/>
      <c r="BB35" s="37"/>
      <c r="BC35" s="37"/>
      <c r="BD35" s="37"/>
      <c r="BE35" s="37"/>
      <c r="BF35" s="37"/>
      <c r="BG35" s="37"/>
      <c r="BH35" s="37"/>
      <c r="BI35" s="37"/>
      <c r="BJ35" s="37"/>
      <c r="BK35" s="37"/>
    </row>
    <row r="36" spans="1:63" x14ac:dyDescent="0.3">
      <c r="A36" s="37"/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  <c r="AA36" s="37"/>
      <c r="AB36" s="37"/>
      <c r="AC36" s="37"/>
      <c r="AD36" s="37"/>
      <c r="AE36" s="37"/>
      <c r="AF36" s="37"/>
      <c r="AG36" s="37"/>
      <c r="AH36" s="37"/>
      <c r="AI36" s="37"/>
      <c r="AJ36" s="37"/>
      <c r="AK36" s="37"/>
      <c r="AL36" s="37"/>
      <c r="AM36" s="37"/>
      <c r="AN36" s="37"/>
      <c r="AO36" s="37"/>
      <c r="AP36" s="37"/>
      <c r="AQ36" s="37"/>
      <c r="AR36" s="37"/>
      <c r="AS36" s="37"/>
      <c r="AT36" s="37"/>
      <c r="AU36" s="37"/>
      <c r="AV36" s="37"/>
      <c r="AW36" s="37"/>
      <c r="AX36" s="37"/>
      <c r="AY36" s="37"/>
      <c r="AZ36" s="37"/>
      <c r="BA36" s="37"/>
      <c r="BB36" s="37"/>
      <c r="BC36" s="37"/>
      <c r="BD36" s="37"/>
      <c r="BE36" s="37"/>
      <c r="BF36" s="37"/>
      <c r="BG36" s="37"/>
      <c r="BH36" s="37"/>
      <c r="BI36" s="37"/>
      <c r="BJ36" s="37"/>
      <c r="BK36" s="37"/>
    </row>
    <row r="37" spans="1:63" x14ac:dyDescent="0.3">
      <c r="A37" s="37"/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37"/>
      <c r="AB37" s="37"/>
      <c r="AC37" s="37"/>
      <c r="AD37" s="37"/>
      <c r="AE37" s="37"/>
      <c r="AF37" s="37"/>
      <c r="AG37" s="37"/>
      <c r="AH37" s="37"/>
      <c r="AI37" s="37"/>
      <c r="AJ37" s="37"/>
      <c r="AK37" s="37"/>
      <c r="AL37" s="37"/>
      <c r="AM37" s="37"/>
      <c r="AN37" s="37"/>
      <c r="AO37" s="37"/>
      <c r="AP37" s="37"/>
      <c r="AQ37" s="37"/>
      <c r="AR37" s="37"/>
      <c r="AS37" s="37"/>
      <c r="AT37" s="37"/>
      <c r="AU37" s="37"/>
      <c r="AV37" s="37"/>
      <c r="AW37" s="37"/>
      <c r="AX37" s="37"/>
      <c r="AY37" s="37"/>
      <c r="AZ37" s="37"/>
      <c r="BA37" s="37"/>
      <c r="BB37" s="37"/>
      <c r="BC37" s="37"/>
      <c r="BD37" s="37"/>
      <c r="BE37" s="37"/>
      <c r="BF37" s="37"/>
      <c r="BG37" s="37"/>
      <c r="BH37" s="37"/>
      <c r="BI37" s="37"/>
      <c r="BJ37" s="37"/>
      <c r="BK37" s="37"/>
    </row>
    <row r="38" spans="1:63" x14ac:dyDescent="0.3">
      <c r="A38" s="37"/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  <c r="AA38" s="37"/>
      <c r="AB38" s="37"/>
      <c r="AC38" s="37"/>
      <c r="AD38" s="37"/>
      <c r="AE38" s="37"/>
      <c r="AF38" s="37"/>
      <c r="AG38" s="37"/>
      <c r="AH38" s="37"/>
      <c r="AI38" s="37"/>
      <c r="AJ38" s="37"/>
      <c r="AK38" s="37"/>
      <c r="AL38" s="37"/>
      <c r="AM38" s="37"/>
      <c r="AN38" s="37"/>
      <c r="AO38" s="37"/>
      <c r="AP38" s="37"/>
      <c r="AQ38" s="37"/>
      <c r="AR38" s="37"/>
      <c r="AS38" s="37"/>
      <c r="AT38" s="37"/>
      <c r="AU38" s="37"/>
      <c r="AV38" s="37"/>
      <c r="AW38" s="37"/>
      <c r="AX38" s="37"/>
      <c r="AY38" s="37"/>
      <c r="AZ38" s="37"/>
      <c r="BA38" s="37"/>
      <c r="BB38" s="37"/>
      <c r="BC38" s="37"/>
      <c r="BD38" s="37"/>
      <c r="BE38" s="37"/>
      <c r="BF38" s="37"/>
      <c r="BG38" s="37"/>
      <c r="BH38" s="37"/>
      <c r="BI38" s="37"/>
      <c r="BJ38" s="37"/>
      <c r="BK38" s="37"/>
    </row>
    <row r="39" spans="1:63" x14ac:dyDescent="0.3">
      <c r="A39" s="37"/>
      <c r="B39" s="37"/>
      <c r="C39" s="37"/>
      <c r="D39" s="37"/>
      <c r="E39" s="37"/>
      <c r="F39" s="37"/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  <c r="AA39" s="37"/>
      <c r="AB39" s="37"/>
      <c r="AC39" s="37"/>
      <c r="AD39" s="37"/>
      <c r="AE39" s="37"/>
      <c r="AF39" s="37"/>
      <c r="AG39" s="37"/>
      <c r="AH39" s="37"/>
      <c r="AI39" s="37"/>
      <c r="AJ39" s="37"/>
      <c r="AK39" s="37"/>
      <c r="AL39" s="37"/>
      <c r="AM39" s="37"/>
      <c r="AN39" s="37"/>
      <c r="AO39" s="37"/>
      <c r="AP39" s="37"/>
      <c r="AQ39" s="37"/>
      <c r="AR39" s="37"/>
      <c r="AS39" s="37"/>
      <c r="AT39" s="37"/>
      <c r="AU39" s="37"/>
      <c r="AV39" s="37"/>
      <c r="AW39" s="37"/>
      <c r="AX39" s="37"/>
      <c r="AY39" s="37"/>
      <c r="AZ39" s="37"/>
      <c r="BA39" s="37"/>
      <c r="BB39" s="37"/>
      <c r="BC39" s="37"/>
      <c r="BD39" s="37"/>
      <c r="BE39" s="37"/>
      <c r="BF39" s="37"/>
      <c r="BG39" s="37"/>
      <c r="BH39" s="37"/>
      <c r="BI39" s="37"/>
      <c r="BJ39" s="37"/>
      <c r="BK39" s="37"/>
    </row>
    <row r="40" spans="1:63" x14ac:dyDescent="0.3">
      <c r="A40" s="37"/>
      <c r="B40" s="37"/>
      <c r="C40" s="37"/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  <c r="AA40" s="37"/>
      <c r="AB40" s="37"/>
      <c r="AC40" s="37"/>
      <c r="AD40" s="37"/>
      <c r="AE40" s="37"/>
      <c r="AF40" s="37"/>
      <c r="AG40" s="37"/>
      <c r="AH40" s="37"/>
      <c r="AI40" s="37"/>
      <c r="AJ40" s="37"/>
      <c r="AK40" s="37"/>
      <c r="AL40" s="37"/>
      <c r="AM40" s="37"/>
      <c r="AN40" s="37"/>
      <c r="AO40" s="37"/>
      <c r="AP40" s="37"/>
      <c r="AQ40" s="37"/>
      <c r="AR40" s="37"/>
      <c r="AS40" s="37"/>
      <c r="AT40" s="37"/>
      <c r="AU40" s="37"/>
      <c r="AV40" s="37"/>
      <c r="AW40" s="37"/>
      <c r="AX40" s="37"/>
      <c r="AY40" s="37"/>
      <c r="AZ40" s="37"/>
      <c r="BA40" s="37"/>
      <c r="BB40" s="37"/>
      <c r="BC40" s="37"/>
      <c r="BD40" s="37"/>
      <c r="BE40" s="37"/>
      <c r="BF40" s="37"/>
      <c r="BG40" s="37"/>
      <c r="BH40" s="37"/>
      <c r="BI40" s="37"/>
      <c r="BJ40" s="37"/>
      <c r="BK40" s="37"/>
    </row>
    <row r="41" spans="1:63" x14ac:dyDescent="0.3">
      <c r="A41" s="37"/>
      <c r="B41" s="37"/>
      <c r="C41" s="37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  <c r="AA41" s="37"/>
      <c r="AB41" s="37"/>
      <c r="AC41" s="37"/>
      <c r="AD41" s="37"/>
      <c r="AE41" s="37"/>
      <c r="AF41" s="37"/>
      <c r="AG41" s="37"/>
      <c r="AH41" s="37"/>
      <c r="AI41" s="37"/>
      <c r="AJ41" s="37"/>
      <c r="AK41" s="37"/>
      <c r="AL41" s="37"/>
      <c r="AM41" s="37"/>
      <c r="AN41" s="37"/>
      <c r="AO41" s="37"/>
      <c r="AP41" s="37"/>
      <c r="AQ41" s="37"/>
      <c r="AR41" s="37"/>
      <c r="AS41" s="37"/>
      <c r="AT41" s="37"/>
      <c r="AU41" s="37"/>
      <c r="AV41" s="37"/>
      <c r="AW41" s="37"/>
      <c r="AX41" s="37"/>
      <c r="AY41" s="37"/>
      <c r="AZ41" s="37"/>
      <c r="BA41" s="37"/>
      <c r="BB41" s="37"/>
      <c r="BC41" s="37"/>
      <c r="BD41" s="37"/>
      <c r="BE41" s="37"/>
      <c r="BF41" s="37"/>
      <c r="BG41" s="37"/>
      <c r="BH41" s="37"/>
      <c r="BI41" s="37"/>
      <c r="BJ41" s="37"/>
      <c r="BK41" s="37"/>
    </row>
    <row r="42" spans="1:63" x14ac:dyDescent="0.3">
      <c r="A42" s="37"/>
      <c r="B42" s="37"/>
      <c r="C42" s="37"/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  <c r="AA42" s="37"/>
      <c r="AB42" s="37"/>
      <c r="AC42" s="37"/>
      <c r="AD42" s="37"/>
      <c r="AE42" s="37"/>
      <c r="AF42" s="37"/>
      <c r="AG42" s="37"/>
      <c r="AH42" s="37"/>
      <c r="AI42" s="37"/>
      <c r="AJ42" s="37"/>
      <c r="AK42" s="37"/>
      <c r="AL42" s="37"/>
      <c r="AM42" s="37"/>
      <c r="AN42" s="37"/>
      <c r="AO42" s="37"/>
      <c r="AP42" s="37"/>
      <c r="AQ42" s="37"/>
      <c r="AR42" s="37"/>
      <c r="AS42" s="37"/>
      <c r="AT42" s="37"/>
      <c r="AU42" s="37"/>
      <c r="AV42" s="37"/>
      <c r="AW42" s="37"/>
      <c r="AX42" s="37"/>
      <c r="AY42" s="37"/>
      <c r="AZ42" s="37"/>
      <c r="BA42" s="37"/>
      <c r="BB42" s="37"/>
      <c r="BC42" s="37"/>
      <c r="BD42" s="37"/>
      <c r="BE42" s="37"/>
      <c r="BF42" s="37"/>
      <c r="BG42" s="37"/>
      <c r="BH42" s="37"/>
      <c r="BI42" s="37"/>
      <c r="BJ42" s="37"/>
      <c r="BK42" s="37"/>
    </row>
    <row r="43" spans="1:63" x14ac:dyDescent="0.3">
      <c r="A43" s="37"/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  <c r="AA43" s="37"/>
      <c r="AB43" s="37"/>
      <c r="AC43" s="37"/>
      <c r="AD43" s="37"/>
      <c r="AE43" s="37"/>
      <c r="AF43" s="37"/>
      <c r="AG43" s="37"/>
      <c r="AH43" s="37"/>
      <c r="AI43" s="37"/>
      <c r="AJ43" s="37"/>
      <c r="AK43" s="37"/>
      <c r="AL43" s="37"/>
      <c r="AM43" s="37"/>
      <c r="AN43" s="37"/>
      <c r="AO43" s="37"/>
      <c r="AP43" s="37"/>
      <c r="AQ43" s="37"/>
      <c r="AR43" s="37"/>
      <c r="AS43" s="37"/>
      <c r="AT43" s="37"/>
      <c r="AU43" s="37"/>
      <c r="AV43" s="37"/>
      <c r="AW43" s="37"/>
      <c r="AX43" s="37"/>
      <c r="AY43" s="37"/>
      <c r="AZ43" s="37"/>
      <c r="BA43" s="37"/>
      <c r="BB43" s="37"/>
      <c r="BC43" s="37"/>
      <c r="BD43" s="37"/>
      <c r="BE43" s="37"/>
      <c r="BF43" s="37"/>
      <c r="BG43" s="37"/>
      <c r="BH43" s="37"/>
      <c r="BI43" s="37"/>
      <c r="BJ43" s="37"/>
      <c r="BK43" s="37"/>
    </row>
    <row r="44" spans="1:63" x14ac:dyDescent="0.3">
      <c r="A44" s="37"/>
      <c r="B44" s="37"/>
      <c r="C44" s="37"/>
      <c r="D44" s="37"/>
      <c r="E44" s="37"/>
      <c r="F44" s="37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  <c r="AA44" s="37"/>
      <c r="AB44" s="37"/>
      <c r="AC44" s="37"/>
      <c r="AD44" s="37"/>
      <c r="AE44" s="37"/>
      <c r="AF44" s="37"/>
      <c r="AG44" s="37"/>
      <c r="AH44" s="37"/>
      <c r="AI44" s="37"/>
      <c r="AJ44" s="37"/>
      <c r="AK44" s="37"/>
      <c r="AL44" s="37"/>
      <c r="AM44" s="37"/>
      <c r="AN44" s="37"/>
      <c r="AO44" s="37"/>
      <c r="AP44" s="37"/>
      <c r="AQ44" s="37"/>
      <c r="AR44" s="37"/>
      <c r="AS44" s="37"/>
      <c r="AT44" s="37"/>
      <c r="AU44" s="37"/>
      <c r="AV44" s="37"/>
      <c r="AW44" s="37"/>
      <c r="AX44" s="37"/>
      <c r="AY44" s="37"/>
      <c r="AZ44" s="37"/>
      <c r="BA44" s="37"/>
      <c r="BB44" s="37"/>
      <c r="BC44" s="37"/>
      <c r="BD44" s="37"/>
      <c r="BE44" s="37"/>
      <c r="BF44" s="37"/>
      <c r="BG44" s="37"/>
      <c r="BH44" s="37"/>
      <c r="BI44" s="37"/>
      <c r="BJ44" s="37"/>
      <c r="BK44" s="37"/>
    </row>
    <row r="45" spans="1:63" x14ac:dyDescent="0.3">
      <c r="A45" s="37"/>
      <c r="B45" s="37"/>
      <c r="C45" s="37"/>
      <c r="E45" s="37"/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  <c r="AA45" s="37"/>
      <c r="AB45" s="37"/>
      <c r="AC45" s="37"/>
      <c r="AD45" s="37"/>
      <c r="AE45" s="37"/>
      <c r="AF45" s="37"/>
      <c r="AG45" s="37"/>
      <c r="AH45" s="37"/>
      <c r="AI45" s="37"/>
      <c r="AJ45" s="37"/>
      <c r="AK45" s="37"/>
      <c r="AL45" s="37"/>
      <c r="AM45" s="37"/>
      <c r="AN45" s="37"/>
      <c r="AO45" s="37"/>
      <c r="AP45" s="37"/>
      <c r="AQ45" s="37"/>
      <c r="AR45" s="37"/>
      <c r="AS45" s="37"/>
      <c r="AT45" s="37"/>
      <c r="AU45" s="37"/>
      <c r="AV45" s="37"/>
      <c r="AW45" s="37"/>
      <c r="AX45" s="37"/>
      <c r="AY45" s="37"/>
      <c r="AZ45" s="37"/>
      <c r="BA45" s="37"/>
      <c r="BB45" s="37"/>
      <c r="BC45" s="37"/>
      <c r="BD45" s="37"/>
      <c r="BE45" s="37"/>
      <c r="BF45" s="37"/>
      <c r="BG45" s="37"/>
      <c r="BH45" s="37"/>
      <c r="BI45" s="37"/>
      <c r="BJ45" s="37"/>
      <c r="BK45" s="37"/>
    </row>
    <row r="46" spans="1:63" x14ac:dyDescent="0.3">
      <c r="A46" s="37"/>
      <c r="B46" s="37"/>
      <c r="C46" s="37"/>
      <c r="D46" s="37"/>
      <c r="E46" s="37"/>
      <c r="F46" s="37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  <c r="AA46" s="37"/>
      <c r="AB46" s="37"/>
      <c r="AC46" s="37"/>
      <c r="AD46" s="37"/>
      <c r="AE46" s="37"/>
      <c r="AF46" s="37"/>
      <c r="AG46" s="37"/>
      <c r="AH46" s="37"/>
      <c r="AI46" s="37"/>
      <c r="AJ46" s="37"/>
      <c r="AK46" s="37"/>
      <c r="AL46" s="37"/>
      <c r="AM46" s="37"/>
      <c r="AN46" s="37"/>
      <c r="AO46" s="37"/>
      <c r="AP46" s="37"/>
      <c r="AQ46" s="37"/>
      <c r="AR46" s="37"/>
      <c r="AS46" s="37"/>
      <c r="AT46" s="37"/>
      <c r="AU46" s="37"/>
      <c r="AV46" s="37"/>
      <c r="AW46" s="37"/>
      <c r="AX46" s="37"/>
      <c r="AY46" s="37"/>
      <c r="AZ46" s="37"/>
      <c r="BA46" s="37"/>
      <c r="BB46" s="37"/>
      <c r="BC46" s="37"/>
      <c r="BD46" s="37"/>
      <c r="BE46" s="37"/>
      <c r="BF46" s="37"/>
      <c r="BG46" s="37"/>
      <c r="BH46" s="37"/>
      <c r="BI46" s="37"/>
      <c r="BJ46" s="37"/>
      <c r="BK46" s="37"/>
    </row>
    <row r="47" spans="1:63" x14ac:dyDescent="0.3">
      <c r="A47" s="37"/>
      <c r="B47" s="37"/>
      <c r="C47" s="37"/>
      <c r="D47" s="37"/>
      <c r="E47" s="37"/>
      <c r="F47" s="37"/>
      <c r="G47" s="37"/>
      <c r="H47" s="37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  <c r="AA47" s="37"/>
      <c r="AB47" s="37"/>
      <c r="AC47" s="37"/>
      <c r="AD47" s="37"/>
      <c r="AE47" s="37"/>
      <c r="AF47" s="37"/>
      <c r="AG47" s="37"/>
      <c r="AH47" s="37"/>
      <c r="AI47" s="37"/>
      <c r="AJ47" s="37"/>
      <c r="AK47" s="37"/>
      <c r="AL47" s="37"/>
      <c r="AM47" s="37"/>
      <c r="AN47" s="37"/>
      <c r="AO47" s="37"/>
      <c r="AP47" s="37"/>
      <c r="AQ47" s="37"/>
      <c r="AR47" s="37"/>
      <c r="AS47" s="37"/>
      <c r="AT47" s="37"/>
      <c r="AU47" s="37"/>
      <c r="AV47" s="37"/>
      <c r="AW47" s="37"/>
      <c r="AX47" s="37"/>
      <c r="AY47" s="37"/>
      <c r="AZ47" s="37"/>
      <c r="BA47" s="37"/>
      <c r="BB47" s="37"/>
      <c r="BC47" s="37"/>
      <c r="BD47" s="37"/>
      <c r="BE47" s="37"/>
      <c r="BF47" s="37"/>
      <c r="BG47" s="37"/>
      <c r="BH47" s="37"/>
      <c r="BI47" s="37"/>
      <c r="BJ47" s="37"/>
      <c r="BK47" s="37"/>
    </row>
    <row r="48" spans="1:63" x14ac:dyDescent="0.3">
      <c r="A48" s="37"/>
      <c r="B48" s="37"/>
      <c r="C48" s="37"/>
      <c r="D48" s="37"/>
      <c r="E48" s="37"/>
      <c r="F48" s="37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  <c r="AA48" s="37"/>
      <c r="AB48" s="37"/>
      <c r="AC48" s="37"/>
      <c r="AD48" s="37"/>
      <c r="AE48" s="37"/>
      <c r="AF48" s="37"/>
      <c r="AG48" s="37"/>
      <c r="AH48" s="37"/>
      <c r="AI48" s="37"/>
      <c r="AJ48" s="37"/>
      <c r="AK48" s="37"/>
      <c r="AL48" s="37"/>
      <c r="AM48" s="37"/>
      <c r="AN48" s="37"/>
      <c r="AO48" s="37"/>
      <c r="AP48" s="37"/>
      <c r="AQ48" s="37"/>
      <c r="AR48" s="37"/>
      <c r="AS48" s="37"/>
      <c r="AT48" s="37"/>
      <c r="AU48" s="37"/>
      <c r="AV48" s="37"/>
      <c r="AW48" s="37"/>
      <c r="AX48" s="37"/>
      <c r="AY48" s="37"/>
      <c r="AZ48" s="37"/>
      <c r="BA48" s="37"/>
      <c r="BB48" s="37"/>
      <c r="BC48" s="37"/>
      <c r="BD48" s="37"/>
      <c r="BE48" s="37"/>
      <c r="BF48" s="37"/>
      <c r="BG48" s="37"/>
      <c r="BH48" s="37"/>
      <c r="BI48" s="37"/>
      <c r="BJ48" s="37"/>
      <c r="BK48" s="37"/>
    </row>
    <row r="49" spans="1:4" x14ac:dyDescent="0.3">
      <c r="A49" s="37"/>
      <c r="B49" s="37"/>
      <c r="C49" s="37"/>
      <c r="D49" s="37"/>
    </row>
  </sheetData>
  <mergeCells count="1">
    <mergeCell ref="F5:H5"/>
  </mergeCells>
  <conditionalFormatting sqref="J7:AN26">
    <cfRule type="containsText" dxfId="191" priority="1" operator="containsText" text="P">
      <formula>NOT(ISERROR(SEARCH("P",J7)))</formula>
    </cfRule>
    <cfRule type="containsText" dxfId="190" priority="2" operator="containsText" text="L">
      <formula>NOT(ISERROR(SEARCH("L",J7)))</formula>
    </cfRule>
    <cfRule type="containsText" dxfId="189" priority="3" operator="containsText" text="A">
      <formula>NOT(ISERROR(SEARCH("A",J7)))</formula>
    </cfRule>
    <cfRule type="containsText" dxfId="188" priority="4" operator="containsText" text="WO">
      <formula>NOT(ISERROR(SEARCH("WO",J7)))</formula>
    </cfRule>
    <cfRule type="containsText" dxfId="187" priority="5" operator="containsText" text="WO">
      <formula>NOT(ISERROR(SEARCH("WO",J7)))</formula>
    </cfRule>
  </conditionalFormatting>
  <dataValidations count="2">
    <dataValidation type="list" allowBlank="1" showInputMessage="1" showErrorMessage="1" sqref="J7:L26 N7:S26 U7:Z26 AB7:AG26 AI7:AN26">
      <formula1>"P,A,L"</formula1>
    </dataValidation>
    <dataValidation type="list" allowBlank="1" showInputMessage="1" showErrorMessage="1" sqref="H4">
      <formula1>#REF!</formula1>
    </dataValidation>
  </dataValidations>
  <pageMargins left="0.7" right="0.7" top="0.75" bottom="0.75" header="0.3" footer="0.3"/>
  <pageSetup orientation="portrait" r:id="rId1"/>
  <drawing r:id="rId2"/>
  <tableParts count="1">
    <tablePart r:id="rId3"/>
  </tableParts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MAY!AT7:AW7</xm:f>
              <xm:sqref>BD7</xm:sqref>
            </x14:sparkline>
            <x14:sparkline>
              <xm:f>MAY!AT8:AW8</xm:f>
              <xm:sqref>BD8</xm:sqref>
            </x14:sparkline>
            <x14:sparkline>
              <xm:f>MAY!AT9:AW9</xm:f>
              <xm:sqref>BD9</xm:sqref>
            </x14:sparkline>
            <x14:sparkline>
              <xm:f>MAY!AT10:AW10</xm:f>
              <xm:sqref>BD10</xm:sqref>
            </x14:sparkline>
            <x14:sparkline>
              <xm:f>MAY!AT11:AW11</xm:f>
              <xm:sqref>BD11</xm:sqref>
            </x14:sparkline>
            <x14:sparkline>
              <xm:f>MAY!AT12:AW12</xm:f>
              <xm:sqref>BD12</xm:sqref>
            </x14:sparkline>
            <x14:sparkline>
              <xm:f>MAY!AT13:AW13</xm:f>
              <xm:sqref>BD13</xm:sqref>
            </x14:sparkline>
            <x14:sparkline>
              <xm:f>MAY!AT14:AW14</xm:f>
              <xm:sqref>BD14</xm:sqref>
            </x14:sparkline>
            <x14:sparkline>
              <xm:f>MAY!AT15:AW15</xm:f>
              <xm:sqref>BD15</xm:sqref>
            </x14:sparkline>
            <x14:sparkline>
              <xm:f>MAY!AT16:AW16</xm:f>
              <xm:sqref>BD16</xm:sqref>
            </x14:sparkline>
            <x14:sparkline>
              <xm:f>MAY!AT17:AW17</xm:f>
              <xm:sqref>BD17</xm:sqref>
            </x14:sparkline>
            <x14:sparkline>
              <xm:f>MAY!AT18:AW18</xm:f>
              <xm:sqref>BD18</xm:sqref>
            </x14:sparkline>
            <x14:sparkline>
              <xm:f>MAY!AT19:AW19</xm:f>
              <xm:sqref>BD19</xm:sqref>
            </x14:sparkline>
            <x14:sparkline>
              <xm:f>MAY!AT20:AW20</xm:f>
              <xm:sqref>BD20</xm:sqref>
            </x14:sparkline>
            <x14:sparkline>
              <xm:f>MAY!AT21:AW21</xm:f>
              <xm:sqref>BD21</xm:sqref>
            </x14:sparkline>
            <x14:sparkline>
              <xm:f>MAY!AT22:AW22</xm:f>
              <xm:sqref>BD22</xm:sqref>
            </x14:sparkline>
            <x14:sparkline>
              <xm:f>MAY!AT23:AW23</xm:f>
              <xm:sqref>BD23</xm:sqref>
            </x14:sparkline>
            <x14:sparkline>
              <xm:f>MAY!AT24:AW24</xm:f>
              <xm:sqref>BD24</xm:sqref>
            </x14:sparkline>
            <x14:sparkline>
              <xm:f>MAY!AT25:AW25</xm:f>
              <xm:sqref>BD25</xm:sqref>
            </x14:sparkline>
            <x14:sparkline>
              <xm:f>MAY!AT26:AW26</xm:f>
              <xm:sqref>BD26</xm:sqref>
            </x14:sparkline>
          </x14:sparklines>
        </x14:sparklineGroup>
      </x14:sparklineGroup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49"/>
  <sheetViews>
    <sheetView zoomScaleNormal="100" workbookViewId="0"/>
  </sheetViews>
  <sheetFormatPr defaultColWidth="9.109375" defaultRowHeight="14.4" x14ac:dyDescent="0.3"/>
  <cols>
    <col min="1" max="6" width="9.109375" style="7"/>
    <col min="7" max="7" width="11.6640625" style="7" bestFit="1" customWidth="1"/>
    <col min="8" max="8" width="20.109375" style="7" bestFit="1" customWidth="1"/>
    <col min="9" max="9" width="9.109375" style="7"/>
    <col min="10" max="10" width="5.33203125" style="7" bestFit="1" customWidth="1"/>
    <col min="11" max="11" width="6" style="7" customWidth="1"/>
    <col min="12" max="12" width="5" style="7" bestFit="1" customWidth="1"/>
    <col min="13" max="14" width="4.33203125" style="7" bestFit="1" customWidth="1"/>
    <col min="15" max="15" width="6.5546875" style="7" customWidth="1"/>
    <col min="16" max="16" width="4.33203125" style="7" bestFit="1" customWidth="1"/>
    <col min="17" max="17" width="5.109375" style="7" bestFit="1" customWidth="1"/>
    <col min="18" max="18" width="4.33203125" style="7" bestFit="1" customWidth="1"/>
    <col min="19" max="19" width="5" style="7" bestFit="1" customWidth="1"/>
    <col min="20" max="20" width="4.33203125" style="7" bestFit="1" customWidth="1"/>
    <col min="21" max="21" width="5.109375" style="7" bestFit="1" customWidth="1"/>
    <col min="22" max="22" width="5" style="7" bestFit="1" customWidth="1"/>
    <col min="23" max="23" width="4.33203125" style="7" bestFit="1" customWidth="1"/>
    <col min="24" max="24" width="5.109375" style="7" bestFit="1" customWidth="1"/>
    <col min="25" max="25" width="4.33203125" style="7" bestFit="1" customWidth="1"/>
    <col min="26" max="26" width="5" style="7" bestFit="1" customWidth="1"/>
    <col min="27" max="27" width="4.33203125" style="7" bestFit="1" customWidth="1"/>
    <col min="28" max="28" width="5.109375" style="7" bestFit="1" customWidth="1"/>
    <col min="29" max="29" width="5" style="7" bestFit="1" customWidth="1"/>
    <col min="30" max="30" width="4.33203125" style="7" bestFit="1" customWidth="1"/>
    <col min="31" max="31" width="5.109375" style="7" bestFit="1" customWidth="1"/>
    <col min="32" max="32" width="4.33203125" style="7" bestFit="1" customWidth="1"/>
    <col min="33" max="33" width="5" style="7" bestFit="1" customWidth="1"/>
    <col min="34" max="34" width="4.33203125" style="7" bestFit="1" customWidth="1"/>
    <col min="35" max="35" width="5.109375" style="7" bestFit="1" customWidth="1"/>
    <col min="36" max="37" width="4.33203125" style="7" bestFit="1" customWidth="1"/>
    <col min="38" max="38" width="5.109375" style="7" bestFit="1" customWidth="1"/>
    <col min="39" max="39" width="4.33203125" style="7" bestFit="1" customWidth="1"/>
    <col min="40" max="40" width="9.109375" style="7"/>
    <col min="41" max="41" width="9.33203125" style="7" bestFit="1" customWidth="1"/>
    <col min="42" max="43" width="14.33203125" style="7" customWidth="1"/>
    <col min="44" max="44" width="18" style="7" customWidth="1"/>
    <col min="45" max="45" width="10.5546875" style="7" customWidth="1"/>
    <col min="46" max="46" width="9.88671875" style="7" customWidth="1"/>
    <col min="47" max="47" width="9.33203125" style="7" bestFit="1" customWidth="1"/>
    <col min="48" max="48" width="12.109375" style="7" customWidth="1"/>
    <col min="49" max="49" width="9.33203125" style="7" bestFit="1" customWidth="1"/>
    <col min="50" max="50" width="11.88671875" style="7" customWidth="1"/>
    <col min="51" max="51" width="14.33203125" style="7" bestFit="1" customWidth="1"/>
    <col min="52" max="52" width="15.44140625" style="7" customWidth="1"/>
    <col min="53" max="53" width="12.88671875" style="7" customWidth="1"/>
    <col min="54" max="54" width="14.5546875" style="7" bestFit="1" customWidth="1"/>
    <col min="55" max="55" width="13.5546875" style="7" customWidth="1"/>
    <col min="56" max="16384" width="9.109375" style="7"/>
  </cols>
  <sheetData>
    <row r="1" spans="4:67" x14ac:dyDescent="0.3">
      <c r="AN1" s="37"/>
      <c r="BD1" s="37"/>
      <c r="BE1" s="37"/>
      <c r="BF1" s="37"/>
      <c r="BG1" s="37"/>
      <c r="BH1" s="37"/>
      <c r="BI1" s="37"/>
      <c r="BJ1" s="37"/>
    </row>
    <row r="2" spans="4:67" x14ac:dyDescent="0.3">
      <c r="AN2" s="37"/>
      <c r="BD2" s="37"/>
      <c r="BE2" s="37"/>
      <c r="BF2" s="37"/>
      <c r="BG2" s="37"/>
      <c r="BH2" s="37"/>
      <c r="BI2" s="37"/>
      <c r="BJ2" s="37"/>
    </row>
    <row r="3" spans="4:67" x14ac:dyDescent="0.3"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  <c r="AA3" s="37"/>
      <c r="AB3" s="37"/>
      <c r="AC3" s="37"/>
      <c r="AD3" s="37"/>
      <c r="AE3" s="37"/>
      <c r="AF3" s="37"/>
      <c r="AG3" s="37"/>
      <c r="AH3" s="37"/>
      <c r="AI3" s="37"/>
      <c r="AJ3" s="37"/>
      <c r="AK3" s="37"/>
      <c r="AL3" s="37"/>
      <c r="AM3" s="37"/>
      <c r="AN3" s="37"/>
      <c r="AO3" s="37"/>
      <c r="AP3" s="37"/>
      <c r="AQ3" s="37"/>
      <c r="AR3" s="37"/>
      <c r="AS3" s="37"/>
      <c r="AT3" s="37"/>
      <c r="AU3" s="37"/>
      <c r="AV3" s="37"/>
      <c r="AW3" s="37"/>
      <c r="AX3" s="37"/>
      <c r="AY3" s="37"/>
      <c r="AZ3" s="37"/>
      <c r="BA3" s="37"/>
      <c r="BB3" s="37"/>
      <c r="BC3" s="37"/>
      <c r="BD3" s="37"/>
      <c r="BE3" s="37"/>
      <c r="BF3" s="37"/>
      <c r="BG3" s="37"/>
      <c r="BH3" s="37"/>
      <c r="BI3" s="37"/>
      <c r="BJ3" s="37"/>
      <c r="BK3" s="37"/>
      <c r="BL3" s="37"/>
      <c r="BM3" s="37"/>
      <c r="BN3" s="37"/>
      <c r="BO3" s="37"/>
    </row>
    <row r="4" spans="4:67" ht="15" thickBot="1" x14ac:dyDescent="0.35">
      <c r="D4" s="37"/>
      <c r="E4" s="41"/>
      <c r="F4" s="41"/>
      <c r="G4" s="42" t="s">
        <v>26</v>
      </c>
      <c r="H4" s="43">
        <v>45809</v>
      </c>
      <c r="I4" s="42"/>
      <c r="J4" s="42" t="s">
        <v>27</v>
      </c>
      <c r="K4" s="43">
        <f>EOMONTH(H4,0)</f>
        <v>45838</v>
      </c>
      <c r="L4" s="42"/>
      <c r="M4" s="42"/>
      <c r="N4" s="42">
        <f>(DATEDIF($H$4,$K$4,"D"))+1</f>
        <v>30</v>
      </c>
      <c r="O4" s="44" t="str">
        <f>TEXT(H4,"MMMM")</f>
        <v>June</v>
      </c>
      <c r="P4" s="42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41"/>
      <c r="AC4" s="41"/>
      <c r="AD4" s="41"/>
      <c r="AE4" s="41"/>
      <c r="AF4" s="41"/>
      <c r="AG4" s="41"/>
      <c r="AH4" s="41"/>
      <c r="AI4" s="41"/>
      <c r="AJ4" s="41"/>
      <c r="AK4" s="41"/>
      <c r="AL4" s="41"/>
      <c r="AM4" s="41"/>
      <c r="AN4" s="37"/>
      <c r="AO4" s="37"/>
      <c r="AP4" s="37"/>
      <c r="AQ4" s="37"/>
      <c r="AR4" s="37"/>
      <c r="AS4" s="37"/>
      <c r="AT4" s="37"/>
      <c r="AU4" s="38"/>
      <c r="AV4" s="37"/>
      <c r="AW4" s="37"/>
      <c r="AX4" s="37"/>
      <c r="AY4" s="37"/>
      <c r="AZ4" s="37"/>
      <c r="BA4" s="37"/>
      <c r="BB4" s="37"/>
      <c r="BC4" s="37"/>
      <c r="BD4" s="37"/>
      <c r="BE4" s="37"/>
      <c r="BF4" s="37"/>
      <c r="BG4" s="37"/>
      <c r="BH4" s="37"/>
      <c r="BI4" s="37"/>
      <c r="BJ4" s="37"/>
      <c r="BK4" s="37"/>
      <c r="BL4" s="37"/>
      <c r="BM4" s="37"/>
      <c r="BN4" s="37"/>
      <c r="BO4" s="37"/>
    </row>
    <row r="5" spans="4:67" ht="15" thickBot="1" x14ac:dyDescent="0.35">
      <c r="D5" s="37"/>
      <c r="E5" s="41"/>
      <c r="F5" s="88" t="s">
        <v>40</v>
      </c>
      <c r="G5" s="89"/>
      <c r="H5" s="89"/>
      <c r="I5" s="54" t="s">
        <v>29</v>
      </c>
      <c r="J5" s="8" t="str">
        <f>TEXT(J6,"DDD")</f>
        <v>Sun</v>
      </c>
      <c r="K5" s="8" t="str">
        <f t="shared" ref="K5:AM5" si="0">TEXT(K6,"DDD")</f>
        <v>Mon</v>
      </c>
      <c r="L5" s="8" t="str">
        <f t="shared" si="0"/>
        <v>Tue</v>
      </c>
      <c r="M5" s="8" t="str">
        <f t="shared" si="0"/>
        <v>Wed</v>
      </c>
      <c r="N5" s="8" t="str">
        <f t="shared" si="0"/>
        <v>Thu</v>
      </c>
      <c r="O5" s="8" t="str">
        <f t="shared" si="0"/>
        <v>Fri</v>
      </c>
      <c r="P5" s="8" t="str">
        <f t="shared" si="0"/>
        <v>Sat</v>
      </c>
      <c r="Q5" s="8" t="str">
        <f t="shared" si="0"/>
        <v>Sun</v>
      </c>
      <c r="R5" s="8" t="str">
        <f t="shared" si="0"/>
        <v>Mon</v>
      </c>
      <c r="S5" s="8" t="str">
        <f t="shared" si="0"/>
        <v>Tue</v>
      </c>
      <c r="T5" s="8" t="str">
        <f t="shared" si="0"/>
        <v>Wed</v>
      </c>
      <c r="U5" s="8" t="str">
        <f t="shared" si="0"/>
        <v>Thu</v>
      </c>
      <c r="V5" s="8" t="str">
        <f t="shared" si="0"/>
        <v>Fri</v>
      </c>
      <c r="W5" s="8" t="str">
        <f t="shared" si="0"/>
        <v>Sat</v>
      </c>
      <c r="X5" s="8" t="str">
        <f t="shared" si="0"/>
        <v>Sun</v>
      </c>
      <c r="Y5" s="8" t="str">
        <f t="shared" si="0"/>
        <v>Mon</v>
      </c>
      <c r="Z5" s="8" t="str">
        <f t="shared" si="0"/>
        <v>Tue</v>
      </c>
      <c r="AA5" s="8" t="str">
        <f t="shared" si="0"/>
        <v>Wed</v>
      </c>
      <c r="AB5" s="8" t="str">
        <f t="shared" si="0"/>
        <v>Thu</v>
      </c>
      <c r="AC5" s="8" t="str">
        <f t="shared" si="0"/>
        <v>Fri</v>
      </c>
      <c r="AD5" s="8" t="str">
        <f t="shared" si="0"/>
        <v>Sat</v>
      </c>
      <c r="AE5" s="8" t="str">
        <f t="shared" si="0"/>
        <v>Sun</v>
      </c>
      <c r="AF5" s="8" t="str">
        <f t="shared" si="0"/>
        <v>Mon</v>
      </c>
      <c r="AG5" s="8" t="str">
        <f t="shared" si="0"/>
        <v>Tue</v>
      </c>
      <c r="AH5" s="8" t="str">
        <f t="shared" si="0"/>
        <v>Wed</v>
      </c>
      <c r="AI5" s="8" t="str">
        <f t="shared" si="0"/>
        <v>Thu</v>
      </c>
      <c r="AJ5" s="8" t="str">
        <f t="shared" si="0"/>
        <v>Fri</v>
      </c>
      <c r="AK5" s="8" t="str">
        <f t="shared" si="0"/>
        <v>Sat</v>
      </c>
      <c r="AL5" s="8" t="str">
        <f t="shared" si="0"/>
        <v>Sun</v>
      </c>
      <c r="AM5" s="9" t="str">
        <f t="shared" si="0"/>
        <v>Mon</v>
      </c>
      <c r="AN5" s="39"/>
      <c r="AO5" s="39"/>
      <c r="AP5" s="39"/>
      <c r="AQ5" s="39"/>
      <c r="AR5" s="39"/>
      <c r="AS5" s="39"/>
      <c r="AT5" s="39"/>
      <c r="AU5" s="39"/>
      <c r="AV5" s="39"/>
      <c r="AW5" s="39"/>
      <c r="AX5" s="39"/>
      <c r="AY5" s="39"/>
      <c r="AZ5" s="39"/>
      <c r="BA5" s="39"/>
      <c r="BB5" s="39"/>
      <c r="BC5" s="39"/>
      <c r="BD5" s="39"/>
      <c r="BE5" s="37"/>
      <c r="BF5" s="37"/>
      <c r="BG5" s="37"/>
      <c r="BH5" s="37"/>
      <c r="BI5" s="37"/>
      <c r="BJ5" s="37"/>
    </row>
    <row r="6" spans="4:67" ht="18.600000000000001" thickBot="1" x14ac:dyDescent="0.35">
      <c r="D6" s="37"/>
      <c r="E6" s="41"/>
      <c r="F6" s="10" t="s">
        <v>24</v>
      </c>
      <c r="G6" s="11" t="s">
        <v>23</v>
      </c>
      <c r="H6" s="11" t="s">
        <v>25</v>
      </c>
      <c r="I6" s="13" t="s">
        <v>28</v>
      </c>
      <c r="J6" s="14">
        <f>H4</f>
        <v>45809</v>
      </c>
      <c r="K6" s="14">
        <f>IF(J6&lt;$K$4,J6+1,"")</f>
        <v>45810</v>
      </c>
      <c r="L6" s="14">
        <f t="shared" ref="L6:AL6" si="1">IF(K6&lt;$K$4,K6+1,"")</f>
        <v>45811</v>
      </c>
      <c r="M6" s="14">
        <f t="shared" si="1"/>
        <v>45812</v>
      </c>
      <c r="N6" s="14">
        <f t="shared" si="1"/>
        <v>45813</v>
      </c>
      <c r="O6" s="14">
        <f t="shared" si="1"/>
        <v>45814</v>
      </c>
      <c r="P6" s="14">
        <f t="shared" si="1"/>
        <v>45815</v>
      </c>
      <c r="Q6" s="14">
        <f t="shared" si="1"/>
        <v>45816</v>
      </c>
      <c r="R6" s="14">
        <f t="shared" si="1"/>
        <v>45817</v>
      </c>
      <c r="S6" s="14">
        <f t="shared" si="1"/>
        <v>45818</v>
      </c>
      <c r="T6" s="14">
        <f t="shared" si="1"/>
        <v>45819</v>
      </c>
      <c r="U6" s="14">
        <f t="shared" si="1"/>
        <v>45820</v>
      </c>
      <c r="V6" s="14">
        <f t="shared" si="1"/>
        <v>45821</v>
      </c>
      <c r="W6" s="14">
        <f t="shared" si="1"/>
        <v>45822</v>
      </c>
      <c r="X6" s="14">
        <f t="shared" si="1"/>
        <v>45823</v>
      </c>
      <c r="Y6" s="14">
        <f t="shared" si="1"/>
        <v>45824</v>
      </c>
      <c r="Z6" s="14">
        <f t="shared" si="1"/>
        <v>45825</v>
      </c>
      <c r="AA6" s="14">
        <f t="shared" si="1"/>
        <v>45826</v>
      </c>
      <c r="AB6" s="14">
        <f t="shared" si="1"/>
        <v>45827</v>
      </c>
      <c r="AC6" s="14">
        <f t="shared" si="1"/>
        <v>45828</v>
      </c>
      <c r="AD6" s="14">
        <f t="shared" si="1"/>
        <v>45829</v>
      </c>
      <c r="AE6" s="14">
        <f t="shared" si="1"/>
        <v>45830</v>
      </c>
      <c r="AF6" s="14">
        <f t="shared" si="1"/>
        <v>45831</v>
      </c>
      <c r="AG6" s="14">
        <f t="shared" si="1"/>
        <v>45832</v>
      </c>
      <c r="AH6" s="14">
        <f t="shared" si="1"/>
        <v>45833</v>
      </c>
      <c r="AI6" s="14">
        <f t="shared" si="1"/>
        <v>45834</v>
      </c>
      <c r="AJ6" s="14">
        <f t="shared" si="1"/>
        <v>45835</v>
      </c>
      <c r="AK6" s="14">
        <f t="shared" si="1"/>
        <v>45836</v>
      </c>
      <c r="AL6" s="14">
        <f t="shared" si="1"/>
        <v>45837</v>
      </c>
      <c r="AM6" s="15">
        <f t="shared" ref="AM6" si="2">IF(AL6&lt;$K$4,AL6+1,"")</f>
        <v>45838</v>
      </c>
      <c r="AN6" s="40"/>
      <c r="AO6" s="34" t="s">
        <v>24</v>
      </c>
      <c r="AP6" s="35" t="s">
        <v>23</v>
      </c>
      <c r="AQ6" s="35" t="s">
        <v>41</v>
      </c>
      <c r="AR6" s="35" t="s">
        <v>25</v>
      </c>
      <c r="AS6" s="35" t="s">
        <v>30</v>
      </c>
      <c r="AT6" s="35" t="s">
        <v>31</v>
      </c>
      <c r="AU6" s="35" t="s">
        <v>32</v>
      </c>
      <c r="AV6" s="35" t="s">
        <v>38</v>
      </c>
      <c r="AW6" s="35" t="s">
        <v>29</v>
      </c>
      <c r="AX6" s="35" t="s">
        <v>33</v>
      </c>
      <c r="AY6" s="35" t="s">
        <v>34</v>
      </c>
      <c r="AZ6" s="35" t="s">
        <v>35</v>
      </c>
      <c r="BA6" s="35" t="s">
        <v>36</v>
      </c>
      <c r="BB6" s="35" t="s">
        <v>37</v>
      </c>
      <c r="BC6" s="36" t="s">
        <v>39</v>
      </c>
      <c r="BD6" s="39"/>
      <c r="BE6" s="37"/>
      <c r="BF6" s="37"/>
      <c r="BG6" s="37"/>
      <c r="BH6" s="37"/>
      <c r="BI6" s="37"/>
      <c r="BJ6" s="37"/>
    </row>
    <row r="7" spans="4:67" ht="15.6" x14ac:dyDescent="0.3">
      <c r="D7" s="37"/>
      <c r="E7" s="41"/>
      <c r="F7" s="16">
        <v>1</v>
      </c>
      <c r="G7" s="17">
        <v>1001</v>
      </c>
      <c r="H7" s="17" t="s">
        <v>3</v>
      </c>
      <c r="I7" s="60">
        <f t="shared" ref="I7:I26" si="3">COUNTIF($J$5:$AM$5,"SUN")</f>
        <v>5</v>
      </c>
      <c r="J7" s="63" t="str">
        <f>IF(J$5="Sun","WO","")</f>
        <v>WO</v>
      </c>
      <c r="K7" s="63" t="s">
        <v>42</v>
      </c>
      <c r="L7" s="63" t="s">
        <v>42</v>
      </c>
      <c r="M7" s="63" t="s">
        <v>42</v>
      </c>
      <c r="N7" s="63" t="s">
        <v>44</v>
      </c>
      <c r="O7" s="63" t="s">
        <v>42</v>
      </c>
      <c r="P7" s="63" t="s">
        <v>42</v>
      </c>
      <c r="Q7" s="63" t="str">
        <f t="shared" ref="Q7:AL15" si="4">IF(Q$5="Sun","WO","")</f>
        <v>WO</v>
      </c>
      <c r="R7" s="63" t="s">
        <v>42</v>
      </c>
      <c r="S7" s="63" t="s">
        <v>42</v>
      </c>
      <c r="T7" s="63" t="s">
        <v>42</v>
      </c>
      <c r="U7" s="63" t="s">
        <v>42</v>
      </c>
      <c r="V7" s="63" t="s">
        <v>42</v>
      </c>
      <c r="W7" s="63" t="s">
        <v>42</v>
      </c>
      <c r="X7" s="63" t="str">
        <f t="shared" si="4"/>
        <v>WO</v>
      </c>
      <c r="Y7" s="63" t="s">
        <v>42</v>
      </c>
      <c r="Z7" s="63" t="s">
        <v>42</v>
      </c>
      <c r="AA7" s="63" t="s">
        <v>42</v>
      </c>
      <c r="AB7" s="63" t="s">
        <v>42</v>
      </c>
      <c r="AC7" s="63" t="s">
        <v>42</v>
      </c>
      <c r="AD7" s="63" t="s">
        <v>42</v>
      </c>
      <c r="AE7" s="63" t="str">
        <f t="shared" si="4"/>
        <v>WO</v>
      </c>
      <c r="AF7" s="63" t="s">
        <v>42</v>
      </c>
      <c r="AG7" s="63" t="s">
        <v>42</v>
      </c>
      <c r="AH7" s="63" t="s">
        <v>42</v>
      </c>
      <c r="AI7" s="63" t="s">
        <v>42</v>
      </c>
      <c r="AJ7" s="63" t="s">
        <v>42</v>
      </c>
      <c r="AK7" s="63" t="s">
        <v>42</v>
      </c>
      <c r="AL7" s="63" t="str">
        <f t="shared" si="4"/>
        <v>WO</v>
      </c>
      <c r="AM7" s="72" t="s">
        <v>42</v>
      </c>
      <c r="AN7" s="39"/>
      <c r="AO7" s="28">
        <v>1</v>
      </c>
      <c r="AP7" s="21">
        <v>1001</v>
      </c>
      <c r="AQ7" s="33" t="str">
        <f t="shared" ref="AQ7:AQ26" si="5">$O$4</f>
        <v>June</v>
      </c>
      <c r="AR7" s="21" t="s">
        <v>3</v>
      </c>
      <c r="AS7" s="29">
        <f t="shared" ref="AS7:AS26" si="6">COUNTIF($J7:$AM7,"*P*")</f>
        <v>24</v>
      </c>
      <c r="AT7" s="29">
        <f t="shared" ref="AT7:AT26" si="7">COUNTIF($J7:$AM7,"*A*")</f>
        <v>0</v>
      </c>
      <c r="AU7" s="29">
        <f t="shared" ref="AU7:AU26" si="8">COUNTIF($J7:$AM7,"*L*")</f>
        <v>1</v>
      </c>
      <c r="AV7" s="29">
        <f t="shared" ref="AV7:AV26" si="9">I7</f>
        <v>5</v>
      </c>
      <c r="AW7" s="30">
        <f>$N$4</f>
        <v>30</v>
      </c>
      <c r="AX7" s="29">
        <f>JUNReport[[#This Row],[Days]]-JUNReport[[#This Row],[Adsent]]</f>
        <v>30</v>
      </c>
      <c r="AY7" s="31">
        <v>10000</v>
      </c>
      <c r="AZ7" s="32">
        <f>JUNReport[[#This Row],[Salary]]/JUNReport[[#This Row],[Days]]</f>
        <v>333.33333333333331</v>
      </c>
      <c r="BA7" s="31">
        <f>JUNReport[[#This Row],[Perday salary]]*JUNReport[[#This Row],[Adsent]]</f>
        <v>0</v>
      </c>
      <c r="BB7" s="31">
        <f>JUNReport[[#This Row],[Salary]]-JUNReport[[#This Row],[Detuction ]]</f>
        <v>10000</v>
      </c>
      <c r="BC7" s="29"/>
      <c r="BD7" s="39"/>
      <c r="BE7" s="37"/>
      <c r="BF7" s="37"/>
      <c r="BG7" s="37"/>
      <c r="BH7" s="37"/>
      <c r="BI7" s="37"/>
      <c r="BJ7" s="37"/>
    </row>
    <row r="8" spans="4:67" ht="15.6" x14ac:dyDescent="0.3">
      <c r="D8" s="37"/>
      <c r="E8" s="41"/>
      <c r="F8" s="20">
        <v>2</v>
      </c>
      <c r="G8" s="21">
        <v>1002</v>
      </c>
      <c r="H8" s="21" t="s">
        <v>4</v>
      </c>
      <c r="I8" s="61">
        <f t="shared" si="3"/>
        <v>5</v>
      </c>
      <c r="J8" s="64" t="str">
        <f t="shared" ref="J8:X26" si="10">IF(J$5="Sun","WO","")</f>
        <v>WO</v>
      </c>
      <c r="K8" s="64" t="s">
        <v>42</v>
      </c>
      <c r="L8" s="64" t="s">
        <v>42</v>
      </c>
      <c r="M8" s="64" t="s">
        <v>42</v>
      </c>
      <c r="N8" s="64" t="s">
        <v>44</v>
      </c>
      <c r="O8" s="64" t="s">
        <v>42</v>
      </c>
      <c r="P8" s="64" t="s">
        <v>42</v>
      </c>
      <c r="Q8" s="64" t="str">
        <f t="shared" si="4"/>
        <v>WO</v>
      </c>
      <c r="R8" s="64" t="s">
        <v>42</v>
      </c>
      <c r="S8" s="64" t="s">
        <v>42</v>
      </c>
      <c r="T8" s="64" t="s">
        <v>42</v>
      </c>
      <c r="U8" s="64" t="s">
        <v>42</v>
      </c>
      <c r="V8" s="64" t="s">
        <v>42</v>
      </c>
      <c r="W8" s="64" t="s">
        <v>42</v>
      </c>
      <c r="X8" s="64" t="str">
        <f t="shared" si="4"/>
        <v>WO</v>
      </c>
      <c r="Y8" s="64" t="s">
        <v>42</v>
      </c>
      <c r="Z8" s="64" t="s">
        <v>42</v>
      </c>
      <c r="AA8" s="64" t="s">
        <v>42</v>
      </c>
      <c r="AB8" s="64" t="s">
        <v>42</v>
      </c>
      <c r="AC8" s="64" t="s">
        <v>42</v>
      </c>
      <c r="AD8" s="64" t="s">
        <v>42</v>
      </c>
      <c r="AE8" s="64" t="str">
        <f t="shared" si="4"/>
        <v>WO</v>
      </c>
      <c r="AF8" s="64" t="s">
        <v>42</v>
      </c>
      <c r="AG8" s="64" t="s">
        <v>42</v>
      </c>
      <c r="AH8" s="64" t="s">
        <v>42</v>
      </c>
      <c r="AI8" s="64" t="s">
        <v>42</v>
      </c>
      <c r="AJ8" s="64" t="s">
        <v>42</v>
      </c>
      <c r="AK8" s="64" t="s">
        <v>42</v>
      </c>
      <c r="AL8" s="64" t="str">
        <f t="shared" si="4"/>
        <v>WO</v>
      </c>
      <c r="AM8" s="73" t="s">
        <v>42</v>
      </c>
      <c r="AN8" s="39"/>
      <c r="AO8" s="28">
        <v>2</v>
      </c>
      <c r="AP8" s="21">
        <v>1002</v>
      </c>
      <c r="AQ8" s="33" t="str">
        <f t="shared" si="5"/>
        <v>June</v>
      </c>
      <c r="AR8" s="21" t="s">
        <v>4</v>
      </c>
      <c r="AS8" s="29">
        <f t="shared" si="6"/>
        <v>24</v>
      </c>
      <c r="AT8" s="29">
        <f t="shared" si="7"/>
        <v>0</v>
      </c>
      <c r="AU8" s="29">
        <f t="shared" si="8"/>
        <v>1</v>
      </c>
      <c r="AV8" s="29">
        <f t="shared" si="9"/>
        <v>5</v>
      </c>
      <c r="AW8" s="30">
        <f t="shared" ref="AW8:AW26" si="11">$N$4</f>
        <v>30</v>
      </c>
      <c r="AX8" s="29">
        <f>JUNReport[[#This Row],[Days]]-JUNReport[[#This Row],[Adsent]]</f>
        <v>30</v>
      </c>
      <c r="AY8" s="31">
        <v>20000</v>
      </c>
      <c r="AZ8" s="32">
        <f>JUNReport[[#This Row],[Salary]]/JUNReport[[#This Row],[Days]]</f>
        <v>666.66666666666663</v>
      </c>
      <c r="BA8" s="31">
        <f>JUNReport[[#This Row],[Perday salary]]*JUNReport[[#This Row],[Adsent]]</f>
        <v>0</v>
      </c>
      <c r="BB8" s="31">
        <f>JUNReport[[#This Row],[Salary]]-JUNReport[[#This Row],[Detuction ]]</f>
        <v>20000</v>
      </c>
      <c r="BC8" s="29"/>
      <c r="BD8" s="39"/>
      <c r="BE8" s="37"/>
      <c r="BF8" s="37"/>
      <c r="BG8" s="37"/>
      <c r="BH8" s="37"/>
      <c r="BI8" s="37"/>
      <c r="BJ8" s="37"/>
    </row>
    <row r="9" spans="4:67" ht="15.6" x14ac:dyDescent="0.3">
      <c r="D9" s="37"/>
      <c r="E9" s="41"/>
      <c r="F9" s="20">
        <v>3</v>
      </c>
      <c r="G9" s="21">
        <v>1003</v>
      </c>
      <c r="H9" s="21" t="s">
        <v>5</v>
      </c>
      <c r="I9" s="61">
        <f t="shared" si="3"/>
        <v>5</v>
      </c>
      <c r="J9" s="64" t="str">
        <f t="shared" si="10"/>
        <v>WO</v>
      </c>
      <c r="K9" s="64" t="s">
        <v>42</v>
      </c>
      <c r="L9" s="64" t="s">
        <v>42</v>
      </c>
      <c r="M9" s="64" t="s">
        <v>42</v>
      </c>
      <c r="N9" s="64" t="s">
        <v>44</v>
      </c>
      <c r="O9" s="64" t="s">
        <v>42</v>
      </c>
      <c r="P9" s="64" t="s">
        <v>42</v>
      </c>
      <c r="Q9" s="64" t="str">
        <f t="shared" si="4"/>
        <v>WO</v>
      </c>
      <c r="R9" s="64" t="s">
        <v>42</v>
      </c>
      <c r="S9" s="64" t="s">
        <v>42</v>
      </c>
      <c r="T9" s="64" t="s">
        <v>42</v>
      </c>
      <c r="U9" s="64" t="s">
        <v>42</v>
      </c>
      <c r="V9" s="64" t="s">
        <v>42</v>
      </c>
      <c r="W9" s="64" t="s">
        <v>42</v>
      </c>
      <c r="X9" s="64" t="str">
        <f t="shared" si="4"/>
        <v>WO</v>
      </c>
      <c r="Y9" s="64" t="s">
        <v>42</v>
      </c>
      <c r="Z9" s="64" t="s">
        <v>42</v>
      </c>
      <c r="AA9" s="64" t="s">
        <v>42</v>
      </c>
      <c r="AB9" s="64" t="s">
        <v>42</v>
      </c>
      <c r="AC9" s="64" t="s">
        <v>42</v>
      </c>
      <c r="AD9" s="64" t="s">
        <v>42</v>
      </c>
      <c r="AE9" s="64" t="str">
        <f t="shared" si="4"/>
        <v>WO</v>
      </c>
      <c r="AF9" s="64" t="s">
        <v>42</v>
      </c>
      <c r="AG9" s="64" t="s">
        <v>42</v>
      </c>
      <c r="AH9" s="64" t="s">
        <v>42</v>
      </c>
      <c r="AI9" s="64" t="s">
        <v>42</v>
      </c>
      <c r="AJ9" s="64" t="s">
        <v>42</v>
      </c>
      <c r="AK9" s="64" t="s">
        <v>42</v>
      </c>
      <c r="AL9" s="64" t="str">
        <f t="shared" si="4"/>
        <v>WO</v>
      </c>
      <c r="AM9" s="73" t="s">
        <v>42</v>
      </c>
      <c r="AN9" s="39"/>
      <c r="AO9" s="28">
        <v>3</v>
      </c>
      <c r="AP9" s="21">
        <v>1003</v>
      </c>
      <c r="AQ9" s="33" t="str">
        <f t="shared" si="5"/>
        <v>June</v>
      </c>
      <c r="AR9" s="21" t="s">
        <v>5</v>
      </c>
      <c r="AS9" s="29">
        <f t="shared" si="6"/>
        <v>24</v>
      </c>
      <c r="AT9" s="29">
        <f t="shared" si="7"/>
        <v>0</v>
      </c>
      <c r="AU9" s="29">
        <f t="shared" si="8"/>
        <v>1</v>
      </c>
      <c r="AV9" s="29">
        <f t="shared" si="9"/>
        <v>5</v>
      </c>
      <c r="AW9" s="30">
        <f t="shared" si="11"/>
        <v>30</v>
      </c>
      <c r="AX9" s="29">
        <f>JUNReport[[#This Row],[Days]]-JUNReport[[#This Row],[Adsent]]</f>
        <v>30</v>
      </c>
      <c r="AY9" s="31">
        <v>25000</v>
      </c>
      <c r="AZ9" s="32">
        <f>JUNReport[[#This Row],[Salary]]/JUNReport[[#This Row],[Days]]</f>
        <v>833.33333333333337</v>
      </c>
      <c r="BA9" s="31">
        <f>JUNReport[[#This Row],[Perday salary]]*JUNReport[[#This Row],[Adsent]]</f>
        <v>0</v>
      </c>
      <c r="BB9" s="31">
        <f>JUNReport[[#This Row],[Salary]]-JUNReport[[#This Row],[Detuction ]]</f>
        <v>25000</v>
      </c>
      <c r="BC9" s="29"/>
      <c r="BD9" s="39"/>
      <c r="BE9" s="37"/>
      <c r="BF9" s="37"/>
      <c r="BG9" s="37"/>
      <c r="BH9" s="37"/>
      <c r="BI9" s="37"/>
      <c r="BJ9" s="37"/>
    </row>
    <row r="10" spans="4:67" ht="15.6" x14ac:dyDescent="0.3">
      <c r="D10" s="37"/>
      <c r="E10" s="41"/>
      <c r="F10" s="20">
        <v>4</v>
      </c>
      <c r="G10" s="21">
        <v>1004</v>
      </c>
      <c r="H10" s="21" t="s">
        <v>6</v>
      </c>
      <c r="I10" s="61">
        <f t="shared" si="3"/>
        <v>5</v>
      </c>
      <c r="J10" s="64" t="str">
        <f t="shared" si="10"/>
        <v>WO</v>
      </c>
      <c r="K10" s="64" t="s">
        <v>42</v>
      </c>
      <c r="L10" s="64" t="s">
        <v>43</v>
      </c>
      <c r="M10" s="64" t="s">
        <v>42</v>
      </c>
      <c r="N10" s="64" t="s">
        <v>44</v>
      </c>
      <c r="O10" s="64" t="s">
        <v>42</v>
      </c>
      <c r="P10" s="64" t="s">
        <v>42</v>
      </c>
      <c r="Q10" s="64" t="str">
        <f t="shared" si="4"/>
        <v>WO</v>
      </c>
      <c r="R10" s="64" t="s">
        <v>42</v>
      </c>
      <c r="S10" s="64" t="s">
        <v>42</v>
      </c>
      <c r="T10" s="64" t="s">
        <v>42</v>
      </c>
      <c r="U10" s="64" t="s">
        <v>42</v>
      </c>
      <c r="V10" s="64" t="s">
        <v>42</v>
      </c>
      <c r="W10" s="64" t="s">
        <v>42</v>
      </c>
      <c r="X10" s="64" t="str">
        <f t="shared" si="4"/>
        <v>WO</v>
      </c>
      <c r="Y10" s="64" t="s">
        <v>42</v>
      </c>
      <c r="Z10" s="64" t="s">
        <v>42</v>
      </c>
      <c r="AA10" s="64" t="s">
        <v>42</v>
      </c>
      <c r="AB10" s="64" t="s">
        <v>42</v>
      </c>
      <c r="AC10" s="64" t="s">
        <v>42</v>
      </c>
      <c r="AD10" s="64" t="s">
        <v>42</v>
      </c>
      <c r="AE10" s="64" t="str">
        <f t="shared" si="4"/>
        <v>WO</v>
      </c>
      <c r="AF10" s="64" t="s">
        <v>42</v>
      </c>
      <c r="AG10" s="64" t="s">
        <v>42</v>
      </c>
      <c r="AH10" s="64" t="s">
        <v>42</v>
      </c>
      <c r="AI10" s="64" t="s">
        <v>42</v>
      </c>
      <c r="AJ10" s="64" t="s">
        <v>42</v>
      </c>
      <c r="AK10" s="64" t="s">
        <v>42</v>
      </c>
      <c r="AL10" s="64" t="str">
        <f t="shared" si="4"/>
        <v>WO</v>
      </c>
      <c r="AM10" s="73" t="s">
        <v>42</v>
      </c>
      <c r="AN10" s="39"/>
      <c r="AO10" s="28">
        <v>4</v>
      </c>
      <c r="AP10" s="21">
        <v>1004</v>
      </c>
      <c r="AQ10" s="33" t="str">
        <f t="shared" si="5"/>
        <v>June</v>
      </c>
      <c r="AR10" s="21" t="s">
        <v>6</v>
      </c>
      <c r="AS10" s="29">
        <f t="shared" si="6"/>
        <v>23</v>
      </c>
      <c r="AT10" s="29">
        <f t="shared" si="7"/>
        <v>1</v>
      </c>
      <c r="AU10" s="29">
        <f t="shared" si="8"/>
        <v>1</v>
      </c>
      <c r="AV10" s="29">
        <f t="shared" si="9"/>
        <v>5</v>
      </c>
      <c r="AW10" s="30">
        <f t="shared" si="11"/>
        <v>30</v>
      </c>
      <c r="AX10" s="29">
        <f>JUNReport[[#This Row],[Days]]-JUNReport[[#This Row],[Adsent]]</f>
        <v>29</v>
      </c>
      <c r="AY10" s="31">
        <v>30000</v>
      </c>
      <c r="AZ10" s="32">
        <f>JUNReport[[#This Row],[Salary]]/JUNReport[[#This Row],[Days]]</f>
        <v>1000</v>
      </c>
      <c r="BA10" s="31">
        <f>JUNReport[[#This Row],[Perday salary]]*JUNReport[[#This Row],[Adsent]]</f>
        <v>1000</v>
      </c>
      <c r="BB10" s="31">
        <f>JUNReport[[#This Row],[Salary]]-JUNReport[[#This Row],[Detuction ]]</f>
        <v>29000</v>
      </c>
      <c r="BC10" s="29"/>
      <c r="BD10" s="39"/>
      <c r="BE10" s="37"/>
      <c r="BF10" s="37"/>
      <c r="BG10" s="37"/>
      <c r="BH10" s="37"/>
      <c r="BI10" s="37"/>
      <c r="BJ10" s="37"/>
    </row>
    <row r="11" spans="4:67" ht="15.6" x14ac:dyDescent="0.3">
      <c r="D11" s="37"/>
      <c r="E11" s="41"/>
      <c r="F11" s="20">
        <v>5</v>
      </c>
      <c r="G11" s="21">
        <v>1005</v>
      </c>
      <c r="H11" s="21" t="s">
        <v>7</v>
      </c>
      <c r="I11" s="61">
        <f t="shared" si="3"/>
        <v>5</v>
      </c>
      <c r="J11" s="64" t="str">
        <f t="shared" si="10"/>
        <v>WO</v>
      </c>
      <c r="K11" s="64" t="s">
        <v>42</v>
      </c>
      <c r="L11" s="64" t="s">
        <v>42</v>
      </c>
      <c r="M11" s="64" t="s">
        <v>42</v>
      </c>
      <c r="N11" s="64" t="s">
        <v>44</v>
      </c>
      <c r="O11" s="64" t="s">
        <v>42</v>
      </c>
      <c r="P11" s="64" t="s">
        <v>42</v>
      </c>
      <c r="Q11" s="64" t="str">
        <f t="shared" si="4"/>
        <v>WO</v>
      </c>
      <c r="R11" s="64" t="s">
        <v>42</v>
      </c>
      <c r="S11" s="64" t="s">
        <v>43</v>
      </c>
      <c r="T11" s="64" t="s">
        <v>42</v>
      </c>
      <c r="U11" s="64" t="s">
        <v>42</v>
      </c>
      <c r="V11" s="64" t="s">
        <v>42</v>
      </c>
      <c r="W11" s="64" t="s">
        <v>42</v>
      </c>
      <c r="X11" s="64" t="str">
        <f t="shared" si="4"/>
        <v>WO</v>
      </c>
      <c r="Y11" s="64" t="s">
        <v>42</v>
      </c>
      <c r="Z11" s="64" t="s">
        <v>42</v>
      </c>
      <c r="AA11" s="64" t="s">
        <v>42</v>
      </c>
      <c r="AB11" s="64" t="s">
        <v>42</v>
      </c>
      <c r="AC11" s="64" t="s">
        <v>43</v>
      </c>
      <c r="AD11" s="64" t="s">
        <v>42</v>
      </c>
      <c r="AE11" s="64" t="str">
        <f t="shared" si="4"/>
        <v>WO</v>
      </c>
      <c r="AF11" s="64" t="s">
        <v>42</v>
      </c>
      <c r="AG11" s="64" t="s">
        <v>42</v>
      </c>
      <c r="AH11" s="64" t="s">
        <v>43</v>
      </c>
      <c r="AI11" s="64" t="s">
        <v>42</v>
      </c>
      <c r="AJ11" s="64" t="s">
        <v>42</v>
      </c>
      <c r="AK11" s="64" t="s">
        <v>42</v>
      </c>
      <c r="AL11" s="64" t="str">
        <f t="shared" si="4"/>
        <v>WO</v>
      </c>
      <c r="AM11" s="73" t="s">
        <v>42</v>
      </c>
      <c r="AN11" s="39"/>
      <c r="AO11" s="28">
        <v>5</v>
      </c>
      <c r="AP11" s="21">
        <v>1005</v>
      </c>
      <c r="AQ11" s="33" t="str">
        <f t="shared" si="5"/>
        <v>June</v>
      </c>
      <c r="AR11" s="21" t="s">
        <v>7</v>
      </c>
      <c r="AS11" s="29">
        <f t="shared" si="6"/>
        <v>21</v>
      </c>
      <c r="AT11" s="29">
        <f t="shared" si="7"/>
        <v>3</v>
      </c>
      <c r="AU11" s="29">
        <f t="shared" si="8"/>
        <v>1</v>
      </c>
      <c r="AV11" s="29">
        <f t="shared" si="9"/>
        <v>5</v>
      </c>
      <c r="AW11" s="30">
        <f t="shared" si="11"/>
        <v>30</v>
      </c>
      <c r="AX11" s="29">
        <f>JUNReport[[#This Row],[Days]]-JUNReport[[#This Row],[Adsent]]</f>
        <v>27</v>
      </c>
      <c r="AY11" s="31">
        <v>45000</v>
      </c>
      <c r="AZ11" s="32">
        <f>JUNReport[[#This Row],[Salary]]/JUNReport[[#This Row],[Days]]</f>
        <v>1500</v>
      </c>
      <c r="BA11" s="31">
        <f>JUNReport[[#This Row],[Perday salary]]*JUNReport[[#This Row],[Adsent]]</f>
        <v>4500</v>
      </c>
      <c r="BB11" s="31">
        <f>JUNReport[[#This Row],[Salary]]-JUNReport[[#This Row],[Detuction ]]</f>
        <v>40500</v>
      </c>
      <c r="BC11" s="29"/>
      <c r="BD11" s="39"/>
      <c r="BE11" s="37"/>
      <c r="BF11" s="37"/>
      <c r="BG11" s="37"/>
      <c r="BH11" s="37"/>
      <c r="BI11" s="37"/>
      <c r="BJ11" s="37"/>
    </row>
    <row r="12" spans="4:67" ht="15.6" x14ac:dyDescent="0.3">
      <c r="D12" s="37"/>
      <c r="E12" s="41"/>
      <c r="F12" s="20">
        <v>6</v>
      </c>
      <c r="G12" s="21">
        <v>1006</v>
      </c>
      <c r="H12" s="21" t="s">
        <v>8</v>
      </c>
      <c r="I12" s="61">
        <f t="shared" si="3"/>
        <v>5</v>
      </c>
      <c r="J12" s="64" t="str">
        <f t="shared" si="10"/>
        <v>WO</v>
      </c>
      <c r="K12" s="64" t="s">
        <v>42</v>
      </c>
      <c r="L12" s="64" t="s">
        <v>42</v>
      </c>
      <c r="M12" s="64" t="s">
        <v>42</v>
      </c>
      <c r="N12" s="64" t="s">
        <v>44</v>
      </c>
      <c r="O12" s="64" t="s">
        <v>42</v>
      </c>
      <c r="P12" s="64" t="s">
        <v>42</v>
      </c>
      <c r="Q12" s="64" t="str">
        <f t="shared" si="4"/>
        <v>WO</v>
      </c>
      <c r="R12" s="64" t="s">
        <v>42</v>
      </c>
      <c r="S12" s="64" t="s">
        <v>42</v>
      </c>
      <c r="T12" s="64" t="s">
        <v>43</v>
      </c>
      <c r="U12" s="64" t="s">
        <v>42</v>
      </c>
      <c r="V12" s="64" t="s">
        <v>42</v>
      </c>
      <c r="W12" s="64" t="s">
        <v>42</v>
      </c>
      <c r="X12" s="64" t="str">
        <f t="shared" si="4"/>
        <v>WO</v>
      </c>
      <c r="Y12" s="64" t="s">
        <v>42</v>
      </c>
      <c r="Z12" s="64" t="s">
        <v>42</v>
      </c>
      <c r="AA12" s="64" t="s">
        <v>42</v>
      </c>
      <c r="AB12" s="64" t="s">
        <v>42</v>
      </c>
      <c r="AC12" s="64" t="s">
        <v>42</v>
      </c>
      <c r="AD12" s="64" t="s">
        <v>42</v>
      </c>
      <c r="AE12" s="64" t="str">
        <f t="shared" si="4"/>
        <v>WO</v>
      </c>
      <c r="AF12" s="64" t="s">
        <v>42</v>
      </c>
      <c r="AG12" s="64" t="s">
        <v>42</v>
      </c>
      <c r="AH12" s="64" t="s">
        <v>42</v>
      </c>
      <c r="AI12" s="64" t="s">
        <v>42</v>
      </c>
      <c r="AJ12" s="64" t="s">
        <v>42</v>
      </c>
      <c r="AK12" s="64" t="s">
        <v>42</v>
      </c>
      <c r="AL12" s="64" t="str">
        <f t="shared" si="4"/>
        <v>WO</v>
      </c>
      <c r="AM12" s="73" t="s">
        <v>42</v>
      </c>
      <c r="AN12" s="39"/>
      <c r="AO12" s="28">
        <v>6</v>
      </c>
      <c r="AP12" s="21">
        <v>1006</v>
      </c>
      <c r="AQ12" s="33" t="str">
        <f t="shared" si="5"/>
        <v>June</v>
      </c>
      <c r="AR12" s="21" t="s">
        <v>8</v>
      </c>
      <c r="AS12" s="29">
        <f t="shared" si="6"/>
        <v>23</v>
      </c>
      <c r="AT12" s="29">
        <f t="shared" si="7"/>
        <v>1</v>
      </c>
      <c r="AU12" s="29">
        <f t="shared" si="8"/>
        <v>1</v>
      </c>
      <c r="AV12" s="29">
        <f t="shared" si="9"/>
        <v>5</v>
      </c>
      <c r="AW12" s="30">
        <f t="shared" si="11"/>
        <v>30</v>
      </c>
      <c r="AX12" s="29">
        <f>JUNReport[[#This Row],[Days]]-JUNReport[[#This Row],[Adsent]]</f>
        <v>29</v>
      </c>
      <c r="AY12" s="31">
        <v>15000</v>
      </c>
      <c r="AZ12" s="32">
        <f>JUNReport[[#This Row],[Salary]]/JUNReport[[#This Row],[Days]]</f>
        <v>500</v>
      </c>
      <c r="BA12" s="31">
        <f>JUNReport[[#This Row],[Perday salary]]*JUNReport[[#This Row],[Adsent]]</f>
        <v>500</v>
      </c>
      <c r="BB12" s="31">
        <f>JUNReport[[#This Row],[Salary]]-JUNReport[[#This Row],[Detuction ]]</f>
        <v>14500</v>
      </c>
      <c r="BC12" s="29"/>
      <c r="BD12" s="39"/>
      <c r="BE12" s="37"/>
      <c r="BF12" s="37"/>
      <c r="BG12" s="37"/>
      <c r="BH12" s="37"/>
      <c r="BI12" s="37"/>
      <c r="BJ12" s="37"/>
    </row>
    <row r="13" spans="4:67" ht="15.6" x14ac:dyDescent="0.3">
      <c r="D13" s="37"/>
      <c r="E13" s="41"/>
      <c r="F13" s="20">
        <v>7</v>
      </c>
      <c r="G13" s="21">
        <v>1007</v>
      </c>
      <c r="H13" s="21" t="s">
        <v>9</v>
      </c>
      <c r="I13" s="61">
        <f t="shared" si="3"/>
        <v>5</v>
      </c>
      <c r="J13" s="64" t="str">
        <f t="shared" si="10"/>
        <v>WO</v>
      </c>
      <c r="K13" s="64" t="s">
        <v>42</v>
      </c>
      <c r="L13" s="64" t="s">
        <v>42</v>
      </c>
      <c r="M13" s="64" t="s">
        <v>42</v>
      </c>
      <c r="N13" s="64" t="s">
        <v>44</v>
      </c>
      <c r="O13" s="64" t="s">
        <v>42</v>
      </c>
      <c r="P13" s="64" t="s">
        <v>42</v>
      </c>
      <c r="Q13" s="64" t="str">
        <f t="shared" si="4"/>
        <v>WO</v>
      </c>
      <c r="R13" s="64" t="s">
        <v>42</v>
      </c>
      <c r="S13" s="64" t="s">
        <v>42</v>
      </c>
      <c r="T13" s="64" t="s">
        <v>43</v>
      </c>
      <c r="U13" s="64" t="s">
        <v>42</v>
      </c>
      <c r="V13" s="64" t="s">
        <v>42</v>
      </c>
      <c r="W13" s="64" t="s">
        <v>42</v>
      </c>
      <c r="X13" s="64" t="str">
        <f t="shared" si="4"/>
        <v>WO</v>
      </c>
      <c r="Y13" s="64" t="s">
        <v>42</v>
      </c>
      <c r="Z13" s="64" t="s">
        <v>42</v>
      </c>
      <c r="AA13" s="64" t="s">
        <v>42</v>
      </c>
      <c r="AB13" s="64" t="s">
        <v>42</v>
      </c>
      <c r="AC13" s="64" t="s">
        <v>42</v>
      </c>
      <c r="AD13" s="64" t="s">
        <v>42</v>
      </c>
      <c r="AE13" s="64" t="str">
        <f t="shared" si="4"/>
        <v>WO</v>
      </c>
      <c r="AF13" s="64" t="s">
        <v>42</v>
      </c>
      <c r="AG13" s="64" t="s">
        <v>42</v>
      </c>
      <c r="AH13" s="64" t="s">
        <v>42</v>
      </c>
      <c r="AI13" s="64" t="s">
        <v>42</v>
      </c>
      <c r="AJ13" s="64" t="s">
        <v>42</v>
      </c>
      <c r="AK13" s="64" t="s">
        <v>42</v>
      </c>
      <c r="AL13" s="64" t="str">
        <f t="shared" si="4"/>
        <v>WO</v>
      </c>
      <c r="AM13" s="73" t="s">
        <v>42</v>
      </c>
      <c r="AN13" s="39"/>
      <c r="AO13" s="28">
        <v>7</v>
      </c>
      <c r="AP13" s="21">
        <v>1007</v>
      </c>
      <c r="AQ13" s="33" t="str">
        <f t="shared" si="5"/>
        <v>June</v>
      </c>
      <c r="AR13" s="21" t="s">
        <v>9</v>
      </c>
      <c r="AS13" s="29">
        <f t="shared" si="6"/>
        <v>23</v>
      </c>
      <c r="AT13" s="29">
        <f t="shared" si="7"/>
        <v>1</v>
      </c>
      <c r="AU13" s="29">
        <f t="shared" si="8"/>
        <v>1</v>
      </c>
      <c r="AV13" s="29">
        <f t="shared" si="9"/>
        <v>5</v>
      </c>
      <c r="AW13" s="30">
        <f t="shared" si="11"/>
        <v>30</v>
      </c>
      <c r="AX13" s="29">
        <f>JUNReport[[#This Row],[Days]]-JUNReport[[#This Row],[Adsent]]</f>
        <v>29</v>
      </c>
      <c r="AY13" s="31">
        <v>62000</v>
      </c>
      <c r="AZ13" s="32">
        <f>JUNReport[[#This Row],[Salary]]/JUNReport[[#This Row],[Days]]</f>
        <v>2066.6666666666665</v>
      </c>
      <c r="BA13" s="31">
        <f>JUNReport[[#This Row],[Perday salary]]*JUNReport[[#This Row],[Adsent]]</f>
        <v>2066.6666666666665</v>
      </c>
      <c r="BB13" s="31">
        <f>JUNReport[[#This Row],[Salary]]-JUNReport[[#This Row],[Detuction ]]</f>
        <v>59933.333333333336</v>
      </c>
      <c r="BC13" s="29"/>
      <c r="BD13" s="39"/>
      <c r="BE13" s="37"/>
      <c r="BF13" s="37"/>
      <c r="BG13" s="37"/>
      <c r="BH13" s="37"/>
      <c r="BI13" s="37"/>
      <c r="BJ13" s="37"/>
    </row>
    <row r="14" spans="4:67" ht="15.6" x14ac:dyDescent="0.3">
      <c r="D14" s="37"/>
      <c r="E14" s="41"/>
      <c r="F14" s="20">
        <v>8</v>
      </c>
      <c r="G14" s="21">
        <v>1008</v>
      </c>
      <c r="H14" s="21" t="s">
        <v>10</v>
      </c>
      <c r="I14" s="61">
        <f t="shared" si="3"/>
        <v>5</v>
      </c>
      <c r="J14" s="64" t="str">
        <f t="shared" si="10"/>
        <v>WO</v>
      </c>
      <c r="K14" s="64" t="s">
        <v>42</v>
      </c>
      <c r="L14" s="64" t="s">
        <v>42</v>
      </c>
      <c r="M14" s="64" t="s">
        <v>42</v>
      </c>
      <c r="N14" s="64" t="s">
        <v>44</v>
      </c>
      <c r="O14" s="64" t="s">
        <v>42</v>
      </c>
      <c r="P14" s="64" t="s">
        <v>42</v>
      </c>
      <c r="Q14" s="64" t="str">
        <f t="shared" si="4"/>
        <v>WO</v>
      </c>
      <c r="R14" s="64" t="s">
        <v>42</v>
      </c>
      <c r="S14" s="64" t="s">
        <v>42</v>
      </c>
      <c r="T14" s="64" t="s">
        <v>43</v>
      </c>
      <c r="U14" s="64" t="s">
        <v>42</v>
      </c>
      <c r="V14" s="64" t="s">
        <v>42</v>
      </c>
      <c r="W14" s="64" t="s">
        <v>42</v>
      </c>
      <c r="X14" s="64" t="str">
        <f t="shared" si="4"/>
        <v>WO</v>
      </c>
      <c r="Y14" s="64" t="s">
        <v>42</v>
      </c>
      <c r="Z14" s="64" t="s">
        <v>42</v>
      </c>
      <c r="AA14" s="64" t="s">
        <v>42</v>
      </c>
      <c r="AB14" s="64" t="s">
        <v>42</v>
      </c>
      <c r="AC14" s="64" t="s">
        <v>42</v>
      </c>
      <c r="AD14" s="64" t="s">
        <v>42</v>
      </c>
      <c r="AE14" s="64" t="str">
        <f t="shared" si="4"/>
        <v>WO</v>
      </c>
      <c r="AF14" s="64" t="s">
        <v>42</v>
      </c>
      <c r="AG14" s="64" t="s">
        <v>42</v>
      </c>
      <c r="AH14" s="64" t="s">
        <v>42</v>
      </c>
      <c r="AI14" s="64" t="s">
        <v>42</v>
      </c>
      <c r="AJ14" s="64" t="s">
        <v>42</v>
      </c>
      <c r="AK14" s="64" t="s">
        <v>42</v>
      </c>
      <c r="AL14" s="64" t="str">
        <f t="shared" si="4"/>
        <v>WO</v>
      </c>
      <c r="AM14" s="73" t="s">
        <v>42</v>
      </c>
      <c r="AN14" s="39"/>
      <c r="AO14" s="28">
        <v>8</v>
      </c>
      <c r="AP14" s="21">
        <v>1008</v>
      </c>
      <c r="AQ14" s="33" t="str">
        <f t="shared" si="5"/>
        <v>June</v>
      </c>
      <c r="AR14" s="21" t="s">
        <v>10</v>
      </c>
      <c r="AS14" s="29">
        <f t="shared" si="6"/>
        <v>23</v>
      </c>
      <c r="AT14" s="29">
        <f t="shared" si="7"/>
        <v>1</v>
      </c>
      <c r="AU14" s="29">
        <f t="shared" si="8"/>
        <v>1</v>
      </c>
      <c r="AV14" s="29">
        <f t="shared" si="9"/>
        <v>5</v>
      </c>
      <c r="AW14" s="30">
        <f t="shared" si="11"/>
        <v>30</v>
      </c>
      <c r="AX14" s="29">
        <f>JUNReport[[#This Row],[Days]]-JUNReport[[#This Row],[Adsent]]</f>
        <v>29</v>
      </c>
      <c r="AY14" s="31">
        <v>50000</v>
      </c>
      <c r="AZ14" s="32">
        <f>JUNReport[[#This Row],[Salary]]/JUNReport[[#This Row],[Days]]</f>
        <v>1666.6666666666667</v>
      </c>
      <c r="BA14" s="31">
        <f>JUNReport[[#This Row],[Perday salary]]*JUNReport[[#This Row],[Adsent]]</f>
        <v>1666.6666666666667</v>
      </c>
      <c r="BB14" s="31">
        <f>JUNReport[[#This Row],[Salary]]-JUNReport[[#This Row],[Detuction ]]</f>
        <v>48333.333333333336</v>
      </c>
      <c r="BC14" s="29"/>
      <c r="BD14" s="39"/>
      <c r="BE14" s="37"/>
      <c r="BF14" s="37"/>
      <c r="BG14" s="37"/>
      <c r="BH14" s="37"/>
      <c r="BI14" s="37"/>
      <c r="BJ14" s="37"/>
    </row>
    <row r="15" spans="4:67" ht="15.6" x14ac:dyDescent="0.3">
      <c r="D15" s="37"/>
      <c r="E15" s="41"/>
      <c r="F15" s="20">
        <v>9</v>
      </c>
      <c r="G15" s="21">
        <v>1009</v>
      </c>
      <c r="H15" s="21" t="s">
        <v>11</v>
      </c>
      <c r="I15" s="61">
        <f t="shared" si="3"/>
        <v>5</v>
      </c>
      <c r="J15" s="64" t="str">
        <f t="shared" si="10"/>
        <v>WO</v>
      </c>
      <c r="K15" s="64" t="s">
        <v>42</v>
      </c>
      <c r="L15" s="64" t="s">
        <v>42</v>
      </c>
      <c r="M15" s="64" t="s">
        <v>42</v>
      </c>
      <c r="N15" s="64" t="s">
        <v>44</v>
      </c>
      <c r="O15" s="64" t="s">
        <v>42</v>
      </c>
      <c r="P15" s="64" t="s">
        <v>42</v>
      </c>
      <c r="Q15" s="64" t="str">
        <f t="shared" si="4"/>
        <v>WO</v>
      </c>
      <c r="R15" s="64" t="s">
        <v>42</v>
      </c>
      <c r="S15" s="64" t="s">
        <v>42</v>
      </c>
      <c r="T15" s="64" t="s">
        <v>43</v>
      </c>
      <c r="U15" s="64" t="s">
        <v>42</v>
      </c>
      <c r="V15" s="64" t="s">
        <v>42</v>
      </c>
      <c r="W15" s="64" t="s">
        <v>42</v>
      </c>
      <c r="X15" s="64" t="str">
        <f t="shared" si="4"/>
        <v>WO</v>
      </c>
      <c r="Y15" s="64" t="s">
        <v>42</v>
      </c>
      <c r="Z15" s="64" t="s">
        <v>42</v>
      </c>
      <c r="AA15" s="64" t="s">
        <v>42</v>
      </c>
      <c r="AB15" s="64" t="s">
        <v>42</v>
      </c>
      <c r="AC15" s="64" t="s">
        <v>42</v>
      </c>
      <c r="AD15" s="64" t="s">
        <v>42</v>
      </c>
      <c r="AE15" s="64" t="str">
        <f t="shared" ref="AE15:AL26" si="12">IF(AE$5="Sun","WO","")</f>
        <v>WO</v>
      </c>
      <c r="AF15" s="64" t="s">
        <v>42</v>
      </c>
      <c r="AG15" s="64" t="s">
        <v>42</v>
      </c>
      <c r="AH15" s="64" t="s">
        <v>42</v>
      </c>
      <c r="AI15" s="64" t="s">
        <v>43</v>
      </c>
      <c r="AJ15" s="64" t="s">
        <v>42</v>
      </c>
      <c r="AK15" s="64" t="s">
        <v>42</v>
      </c>
      <c r="AL15" s="64" t="str">
        <f t="shared" si="12"/>
        <v>WO</v>
      </c>
      <c r="AM15" s="73" t="s">
        <v>42</v>
      </c>
      <c r="AN15" s="39"/>
      <c r="AO15" s="28">
        <v>9</v>
      </c>
      <c r="AP15" s="21">
        <v>1009</v>
      </c>
      <c r="AQ15" s="33" t="str">
        <f t="shared" si="5"/>
        <v>June</v>
      </c>
      <c r="AR15" s="21" t="s">
        <v>11</v>
      </c>
      <c r="AS15" s="29">
        <f t="shared" si="6"/>
        <v>22</v>
      </c>
      <c r="AT15" s="29">
        <f t="shared" si="7"/>
        <v>2</v>
      </c>
      <c r="AU15" s="29">
        <f t="shared" si="8"/>
        <v>1</v>
      </c>
      <c r="AV15" s="29">
        <f t="shared" si="9"/>
        <v>5</v>
      </c>
      <c r="AW15" s="30">
        <f t="shared" si="11"/>
        <v>30</v>
      </c>
      <c r="AX15" s="29">
        <f>JUNReport[[#This Row],[Days]]-JUNReport[[#This Row],[Adsent]]</f>
        <v>28</v>
      </c>
      <c r="AY15" s="31">
        <v>25000</v>
      </c>
      <c r="AZ15" s="32">
        <f>JUNReport[[#This Row],[Salary]]/JUNReport[[#This Row],[Days]]</f>
        <v>833.33333333333337</v>
      </c>
      <c r="BA15" s="31">
        <f>JUNReport[[#This Row],[Perday salary]]*JUNReport[[#This Row],[Adsent]]</f>
        <v>1666.6666666666667</v>
      </c>
      <c r="BB15" s="31">
        <f>JUNReport[[#This Row],[Salary]]-JUNReport[[#This Row],[Detuction ]]</f>
        <v>23333.333333333332</v>
      </c>
      <c r="BC15" s="29"/>
      <c r="BD15" s="39"/>
      <c r="BE15" s="37"/>
      <c r="BF15" s="37"/>
      <c r="BG15" s="37"/>
      <c r="BH15" s="37"/>
      <c r="BI15" s="37"/>
      <c r="BJ15" s="37"/>
    </row>
    <row r="16" spans="4:67" ht="15.6" x14ac:dyDescent="0.3">
      <c r="D16" s="37"/>
      <c r="E16" s="41"/>
      <c r="F16" s="20">
        <v>10</v>
      </c>
      <c r="G16" s="21">
        <v>1010</v>
      </c>
      <c r="H16" s="21" t="s">
        <v>12</v>
      </c>
      <c r="I16" s="61">
        <f t="shared" si="3"/>
        <v>5</v>
      </c>
      <c r="J16" s="64" t="str">
        <f t="shared" si="10"/>
        <v>WO</v>
      </c>
      <c r="K16" s="64" t="s">
        <v>42</v>
      </c>
      <c r="L16" s="64" t="s">
        <v>43</v>
      </c>
      <c r="M16" s="64" t="s">
        <v>42</v>
      </c>
      <c r="N16" s="64" t="s">
        <v>44</v>
      </c>
      <c r="O16" s="64" t="s">
        <v>42</v>
      </c>
      <c r="P16" s="64" t="s">
        <v>42</v>
      </c>
      <c r="Q16" s="64" t="str">
        <f t="shared" si="10"/>
        <v>WO</v>
      </c>
      <c r="R16" s="64" t="s">
        <v>42</v>
      </c>
      <c r="S16" s="64" t="s">
        <v>42</v>
      </c>
      <c r="T16" s="64" t="s">
        <v>42</v>
      </c>
      <c r="U16" s="64" t="s">
        <v>42</v>
      </c>
      <c r="V16" s="64" t="s">
        <v>42</v>
      </c>
      <c r="W16" s="64" t="s">
        <v>42</v>
      </c>
      <c r="X16" s="64" t="str">
        <f t="shared" si="10"/>
        <v>WO</v>
      </c>
      <c r="Y16" s="64" t="s">
        <v>42</v>
      </c>
      <c r="Z16" s="64" t="s">
        <v>42</v>
      </c>
      <c r="AA16" s="64" t="s">
        <v>42</v>
      </c>
      <c r="AB16" s="64" t="s">
        <v>42</v>
      </c>
      <c r="AC16" s="64" t="s">
        <v>42</v>
      </c>
      <c r="AD16" s="64" t="s">
        <v>42</v>
      </c>
      <c r="AE16" s="64" t="str">
        <f t="shared" si="12"/>
        <v>WO</v>
      </c>
      <c r="AF16" s="64" t="s">
        <v>42</v>
      </c>
      <c r="AG16" s="64" t="s">
        <v>42</v>
      </c>
      <c r="AH16" s="64" t="s">
        <v>42</v>
      </c>
      <c r="AI16" s="64" t="s">
        <v>42</v>
      </c>
      <c r="AJ16" s="64" t="s">
        <v>42</v>
      </c>
      <c r="AK16" s="64" t="s">
        <v>42</v>
      </c>
      <c r="AL16" s="64" t="str">
        <f t="shared" si="12"/>
        <v>WO</v>
      </c>
      <c r="AM16" s="73" t="s">
        <v>42</v>
      </c>
      <c r="AN16" s="39"/>
      <c r="AO16" s="28">
        <v>10</v>
      </c>
      <c r="AP16" s="21">
        <v>1010</v>
      </c>
      <c r="AQ16" s="33" t="str">
        <f t="shared" si="5"/>
        <v>June</v>
      </c>
      <c r="AR16" s="21" t="s">
        <v>12</v>
      </c>
      <c r="AS16" s="29">
        <f t="shared" si="6"/>
        <v>23</v>
      </c>
      <c r="AT16" s="29">
        <f t="shared" si="7"/>
        <v>1</v>
      </c>
      <c r="AU16" s="29">
        <f t="shared" si="8"/>
        <v>1</v>
      </c>
      <c r="AV16" s="29">
        <f t="shared" si="9"/>
        <v>5</v>
      </c>
      <c r="AW16" s="30">
        <f t="shared" si="11"/>
        <v>30</v>
      </c>
      <c r="AX16" s="29">
        <f>JUNReport[[#This Row],[Days]]-JUNReport[[#This Row],[Adsent]]</f>
        <v>29</v>
      </c>
      <c r="AY16" s="31">
        <v>45000</v>
      </c>
      <c r="AZ16" s="32">
        <f>JUNReport[[#This Row],[Salary]]/JUNReport[[#This Row],[Days]]</f>
        <v>1500</v>
      </c>
      <c r="BA16" s="31">
        <f>JUNReport[[#This Row],[Perday salary]]*JUNReport[[#This Row],[Adsent]]</f>
        <v>1500</v>
      </c>
      <c r="BB16" s="31">
        <f>JUNReport[[#This Row],[Salary]]-JUNReport[[#This Row],[Detuction ]]</f>
        <v>43500</v>
      </c>
      <c r="BC16" s="29"/>
      <c r="BD16" s="39"/>
      <c r="BE16" s="37"/>
      <c r="BF16" s="37"/>
      <c r="BG16" s="37"/>
      <c r="BH16" s="37"/>
      <c r="BI16" s="37"/>
      <c r="BJ16" s="37"/>
    </row>
    <row r="17" spans="1:62" ht="15.6" x14ac:dyDescent="0.3">
      <c r="D17" s="37"/>
      <c r="E17" s="41"/>
      <c r="F17" s="20">
        <v>11</v>
      </c>
      <c r="G17" s="21">
        <v>1011</v>
      </c>
      <c r="H17" s="21" t="s">
        <v>13</v>
      </c>
      <c r="I17" s="61">
        <f t="shared" si="3"/>
        <v>5</v>
      </c>
      <c r="J17" s="64" t="str">
        <f t="shared" si="10"/>
        <v>WO</v>
      </c>
      <c r="K17" s="64" t="s">
        <v>42</v>
      </c>
      <c r="L17" s="64" t="s">
        <v>42</v>
      </c>
      <c r="M17" s="64" t="s">
        <v>42</v>
      </c>
      <c r="N17" s="64" t="s">
        <v>44</v>
      </c>
      <c r="O17" s="64" t="s">
        <v>42</v>
      </c>
      <c r="P17" s="64" t="s">
        <v>42</v>
      </c>
      <c r="Q17" s="64" t="str">
        <f t="shared" si="10"/>
        <v>WO</v>
      </c>
      <c r="R17" s="64" t="s">
        <v>42</v>
      </c>
      <c r="S17" s="64" t="s">
        <v>42</v>
      </c>
      <c r="T17" s="64" t="s">
        <v>42</v>
      </c>
      <c r="U17" s="64" t="s">
        <v>42</v>
      </c>
      <c r="V17" s="64" t="s">
        <v>42</v>
      </c>
      <c r="W17" s="64" t="s">
        <v>42</v>
      </c>
      <c r="X17" s="64" t="str">
        <f t="shared" si="10"/>
        <v>WO</v>
      </c>
      <c r="Y17" s="64" t="s">
        <v>42</v>
      </c>
      <c r="Z17" s="64" t="s">
        <v>42</v>
      </c>
      <c r="AA17" s="64" t="s">
        <v>42</v>
      </c>
      <c r="AB17" s="64" t="s">
        <v>42</v>
      </c>
      <c r="AC17" s="64" t="s">
        <v>42</v>
      </c>
      <c r="AD17" s="64" t="s">
        <v>42</v>
      </c>
      <c r="AE17" s="64" t="str">
        <f t="shared" si="12"/>
        <v>WO</v>
      </c>
      <c r="AF17" s="64" t="s">
        <v>42</v>
      </c>
      <c r="AG17" s="64" t="s">
        <v>42</v>
      </c>
      <c r="AH17" s="64" t="s">
        <v>42</v>
      </c>
      <c r="AI17" s="64" t="s">
        <v>42</v>
      </c>
      <c r="AJ17" s="64" t="s">
        <v>42</v>
      </c>
      <c r="AK17" s="64" t="s">
        <v>42</v>
      </c>
      <c r="AL17" s="64" t="str">
        <f t="shared" si="12"/>
        <v>WO</v>
      </c>
      <c r="AM17" s="73" t="s">
        <v>42</v>
      </c>
      <c r="AN17" s="39"/>
      <c r="AO17" s="28">
        <v>11</v>
      </c>
      <c r="AP17" s="21">
        <v>1011</v>
      </c>
      <c r="AQ17" s="33" t="str">
        <f t="shared" si="5"/>
        <v>June</v>
      </c>
      <c r="AR17" s="21" t="s">
        <v>13</v>
      </c>
      <c r="AS17" s="29">
        <f t="shared" si="6"/>
        <v>24</v>
      </c>
      <c r="AT17" s="29">
        <f t="shared" si="7"/>
        <v>0</v>
      </c>
      <c r="AU17" s="29">
        <f t="shared" si="8"/>
        <v>1</v>
      </c>
      <c r="AV17" s="29">
        <f t="shared" si="9"/>
        <v>5</v>
      </c>
      <c r="AW17" s="30">
        <f t="shared" si="11"/>
        <v>30</v>
      </c>
      <c r="AX17" s="29">
        <f>JUNReport[[#This Row],[Days]]-JUNReport[[#This Row],[Adsent]]</f>
        <v>30</v>
      </c>
      <c r="AY17" s="31">
        <v>48000</v>
      </c>
      <c r="AZ17" s="32">
        <f>JUNReport[[#This Row],[Salary]]/JUNReport[[#This Row],[Days]]</f>
        <v>1600</v>
      </c>
      <c r="BA17" s="31">
        <f>JUNReport[[#This Row],[Perday salary]]*JUNReport[[#This Row],[Adsent]]</f>
        <v>0</v>
      </c>
      <c r="BB17" s="31">
        <f>JUNReport[[#This Row],[Salary]]-JUNReport[[#This Row],[Detuction ]]</f>
        <v>48000</v>
      </c>
      <c r="BC17" s="29"/>
      <c r="BD17" s="39"/>
      <c r="BE17" s="37"/>
      <c r="BF17" s="37"/>
      <c r="BG17" s="37"/>
      <c r="BH17" s="37"/>
      <c r="BI17" s="37"/>
      <c r="BJ17" s="37"/>
    </row>
    <row r="18" spans="1:62" ht="15.6" x14ac:dyDescent="0.3">
      <c r="D18" s="37"/>
      <c r="E18" s="41"/>
      <c r="F18" s="20">
        <v>12</v>
      </c>
      <c r="G18" s="21">
        <v>1012</v>
      </c>
      <c r="H18" s="21" t="s">
        <v>14</v>
      </c>
      <c r="I18" s="61">
        <f t="shared" si="3"/>
        <v>5</v>
      </c>
      <c r="J18" s="64" t="str">
        <f t="shared" si="10"/>
        <v>WO</v>
      </c>
      <c r="K18" s="64" t="s">
        <v>42</v>
      </c>
      <c r="L18" s="64" t="s">
        <v>42</v>
      </c>
      <c r="M18" s="64" t="s">
        <v>42</v>
      </c>
      <c r="N18" s="64" t="s">
        <v>44</v>
      </c>
      <c r="O18" s="64" t="s">
        <v>42</v>
      </c>
      <c r="P18" s="64" t="s">
        <v>42</v>
      </c>
      <c r="Q18" s="64" t="str">
        <f t="shared" si="10"/>
        <v>WO</v>
      </c>
      <c r="R18" s="64" t="s">
        <v>42</v>
      </c>
      <c r="S18" s="64" t="s">
        <v>42</v>
      </c>
      <c r="T18" s="64" t="s">
        <v>42</v>
      </c>
      <c r="U18" s="64" t="s">
        <v>42</v>
      </c>
      <c r="V18" s="64" t="s">
        <v>42</v>
      </c>
      <c r="W18" s="64" t="s">
        <v>42</v>
      </c>
      <c r="X18" s="64" t="str">
        <f t="shared" si="10"/>
        <v>WO</v>
      </c>
      <c r="Y18" s="64" t="s">
        <v>42</v>
      </c>
      <c r="Z18" s="64" t="s">
        <v>42</v>
      </c>
      <c r="AA18" s="64" t="s">
        <v>42</v>
      </c>
      <c r="AB18" s="64" t="s">
        <v>42</v>
      </c>
      <c r="AC18" s="64" t="s">
        <v>42</v>
      </c>
      <c r="AD18" s="64" t="s">
        <v>42</v>
      </c>
      <c r="AE18" s="64" t="str">
        <f t="shared" si="12"/>
        <v>WO</v>
      </c>
      <c r="AF18" s="64" t="s">
        <v>42</v>
      </c>
      <c r="AG18" s="64" t="s">
        <v>42</v>
      </c>
      <c r="AH18" s="64" t="s">
        <v>42</v>
      </c>
      <c r="AI18" s="64" t="s">
        <v>42</v>
      </c>
      <c r="AJ18" s="64" t="s">
        <v>42</v>
      </c>
      <c r="AK18" s="64" t="s">
        <v>42</v>
      </c>
      <c r="AL18" s="64" t="str">
        <f t="shared" si="12"/>
        <v>WO</v>
      </c>
      <c r="AM18" s="73" t="s">
        <v>42</v>
      </c>
      <c r="AN18" s="39"/>
      <c r="AO18" s="28">
        <v>12</v>
      </c>
      <c r="AP18" s="21">
        <v>1012</v>
      </c>
      <c r="AQ18" s="33" t="str">
        <f t="shared" si="5"/>
        <v>June</v>
      </c>
      <c r="AR18" s="21" t="s">
        <v>14</v>
      </c>
      <c r="AS18" s="29">
        <f t="shared" si="6"/>
        <v>24</v>
      </c>
      <c r="AT18" s="29">
        <f t="shared" si="7"/>
        <v>0</v>
      </c>
      <c r="AU18" s="29">
        <f t="shared" si="8"/>
        <v>1</v>
      </c>
      <c r="AV18" s="29">
        <f t="shared" si="9"/>
        <v>5</v>
      </c>
      <c r="AW18" s="30">
        <f t="shared" si="11"/>
        <v>30</v>
      </c>
      <c r="AX18" s="29">
        <f>JUNReport[[#This Row],[Days]]-JUNReport[[#This Row],[Adsent]]</f>
        <v>30</v>
      </c>
      <c r="AY18" s="31">
        <v>52000</v>
      </c>
      <c r="AZ18" s="32">
        <f>JUNReport[[#This Row],[Salary]]/JUNReport[[#This Row],[Days]]</f>
        <v>1733.3333333333333</v>
      </c>
      <c r="BA18" s="31">
        <f>JUNReport[[#This Row],[Perday salary]]*JUNReport[[#This Row],[Adsent]]</f>
        <v>0</v>
      </c>
      <c r="BB18" s="31">
        <f>JUNReport[[#This Row],[Salary]]-JUNReport[[#This Row],[Detuction ]]</f>
        <v>52000</v>
      </c>
      <c r="BC18" s="29"/>
      <c r="BD18" s="39"/>
      <c r="BE18" s="37"/>
      <c r="BF18" s="37"/>
      <c r="BG18" s="37"/>
      <c r="BH18" s="37"/>
      <c r="BI18" s="37"/>
      <c r="BJ18" s="37"/>
    </row>
    <row r="19" spans="1:62" ht="15.6" x14ac:dyDescent="0.3">
      <c r="D19" s="37"/>
      <c r="E19" s="41"/>
      <c r="F19" s="20">
        <v>13</v>
      </c>
      <c r="G19" s="21">
        <v>1013</v>
      </c>
      <c r="H19" s="21" t="s">
        <v>15</v>
      </c>
      <c r="I19" s="61">
        <f t="shared" si="3"/>
        <v>5</v>
      </c>
      <c r="J19" s="64" t="str">
        <f t="shared" si="10"/>
        <v>WO</v>
      </c>
      <c r="K19" s="64" t="s">
        <v>42</v>
      </c>
      <c r="L19" s="64" t="s">
        <v>42</v>
      </c>
      <c r="M19" s="64" t="s">
        <v>42</v>
      </c>
      <c r="N19" s="64" t="s">
        <v>44</v>
      </c>
      <c r="O19" s="64" t="s">
        <v>42</v>
      </c>
      <c r="P19" s="64" t="s">
        <v>42</v>
      </c>
      <c r="Q19" s="64" t="str">
        <f t="shared" si="10"/>
        <v>WO</v>
      </c>
      <c r="R19" s="64" t="s">
        <v>42</v>
      </c>
      <c r="S19" s="64" t="s">
        <v>42</v>
      </c>
      <c r="T19" s="64" t="s">
        <v>42</v>
      </c>
      <c r="U19" s="64" t="s">
        <v>42</v>
      </c>
      <c r="V19" s="64" t="s">
        <v>42</v>
      </c>
      <c r="W19" s="64" t="s">
        <v>42</v>
      </c>
      <c r="X19" s="64" t="str">
        <f t="shared" si="10"/>
        <v>WO</v>
      </c>
      <c r="Y19" s="64" t="s">
        <v>42</v>
      </c>
      <c r="Z19" s="64" t="s">
        <v>42</v>
      </c>
      <c r="AA19" s="64" t="s">
        <v>43</v>
      </c>
      <c r="AB19" s="64" t="s">
        <v>42</v>
      </c>
      <c r="AC19" s="64" t="s">
        <v>42</v>
      </c>
      <c r="AD19" s="64" t="s">
        <v>42</v>
      </c>
      <c r="AE19" s="64" t="str">
        <f t="shared" si="12"/>
        <v>WO</v>
      </c>
      <c r="AF19" s="64" t="s">
        <v>42</v>
      </c>
      <c r="AG19" s="64" t="s">
        <v>42</v>
      </c>
      <c r="AH19" s="64" t="s">
        <v>42</v>
      </c>
      <c r="AI19" s="64" t="s">
        <v>42</v>
      </c>
      <c r="AJ19" s="64" t="s">
        <v>43</v>
      </c>
      <c r="AK19" s="64" t="s">
        <v>42</v>
      </c>
      <c r="AL19" s="64" t="str">
        <f t="shared" si="12"/>
        <v>WO</v>
      </c>
      <c r="AM19" s="73" t="s">
        <v>42</v>
      </c>
      <c r="AN19" s="39"/>
      <c r="AO19" s="28">
        <v>13</v>
      </c>
      <c r="AP19" s="21">
        <v>1013</v>
      </c>
      <c r="AQ19" s="33" t="str">
        <f t="shared" si="5"/>
        <v>June</v>
      </c>
      <c r="AR19" s="21" t="s">
        <v>15</v>
      </c>
      <c r="AS19" s="29">
        <f t="shared" si="6"/>
        <v>22</v>
      </c>
      <c r="AT19" s="29">
        <f t="shared" si="7"/>
        <v>2</v>
      </c>
      <c r="AU19" s="29">
        <f t="shared" si="8"/>
        <v>1</v>
      </c>
      <c r="AV19" s="29">
        <f t="shared" si="9"/>
        <v>5</v>
      </c>
      <c r="AW19" s="30">
        <f t="shared" si="11"/>
        <v>30</v>
      </c>
      <c r="AX19" s="29">
        <f>JUNReport[[#This Row],[Days]]-JUNReport[[#This Row],[Adsent]]</f>
        <v>28</v>
      </c>
      <c r="AY19" s="31">
        <v>42000</v>
      </c>
      <c r="AZ19" s="32">
        <f>JUNReport[[#This Row],[Salary]]/JUNReport[[#This Row],[Days]]</f>
        <v>1400</v>
      </c>
      <c r="BA19" s="31">
        <f>JUNReport[[#This Row],[Perday salary]]*JUNReport[[#This Row],[Adsent]]</f>
        <v>2800</v>
      </c>
      <c r="BB19" s="31">
        <f>JUNReport[[#This Row],[Salary]]-JUNReport[[#This Row],[Detuction ]]</f>
        <v>39200</v>
      </c>
      <c r="BC19" s="29"/>
      <c r="BD19" s="39"/>
      <c r="BE19" s="37"/>
      <c r="BF19" s="37"/>
      <c r="BG19" s="37"/>
      <c r="BH19" s="37"/>
      <c r="BI19" s="37"/>
      <c r="BJ19" s="37"/>
    </row>
    <row r="20" spans="1:62" ht="15.6" x14ac:dyDescent="0.3">
      <c r="D20" s="37"/>
      <c r="E20" s="41"/>
      <c r="F20" s="20">
        <v>14</v>
      </c>
      <c r="G20" s="21">
        <v>1014</v>
      </c>
      <c r="H20" s="21" t="s">
        <v>16</v>
      </c>
      <c r="I20" s="61">
        <f t="shared" si="3"/>
        <v>5</v>
      </c>
      <c r="J20" s="64" t="str">
        <f t="shared" si="10"/>
        <v>WO</v>
      </c>
      <c r="K20" s="64" t="s">
        <v>42</v>
      </c>
      <c r="L20" s="64" t="s">
        <v>43</v>
      </c>
      <c r="M20" s="64" t="s">
        <v>42</v>
      </c>
      <c r="N20" s="64" t="s">
        <v>44</v>
      </c>
      <c r="O20" s="64" t="s">
        <v>42</v>
      </c>
      <c r="P20" s="64" t="s">
        <v>42</v>
      </c>
      <c r="Q20" s="64" t="str">
        <f t="shared" si="10"/>
        <v>WO</v>
      </c>
      <c r="R20" s="64" t="s">
        <v>42</v>
      </c>
      <c r="S20" s="64" t="s">
        <v>42</v>
      </c>
      <c r="T20" s="64" t="s">
        <v>43</v>
      </c>
      <c r="U20" s="64" t="s">
        <v>42</v>
      </c>
      <c r="V20" s="64" t="s">
        <v>42</v>
      </c>
      <c r="W20" s="64" t="s">
        <v>42</v>
      </c>
      <c r="X20" s="64" t="str">
        <f t="shared" si="10"/>
        <v>WO</v>
      </c>
      <c r="Y20" s="64" t="s">
        <v>42</v>
      </c>
      <c r="Z20" s="64" t="s">
        <v>42</v>
      </c>
      <c r="AA20" s="64" t="s">
        <v>42</v>
      </c>
      <c r="AB20" s="64" t="s">
        <v>42</v>
      </c>
      <c r="AC20" s="64" t="s">
        <v>42</v>
      </c>
      <c r="AD20" s="64" t="s">
        <v>42</v>
      </c>
      <c r="AE20" s="64" t="str">
        <f t="shared" si="12"/>
        <v>WO</v>
      </c>
      <c r="AF20" s="64" t="s">
        <v>42</v>
      </c>
      <c r="AG20" s="64" t="s">
        <v>42</v>
      </c>
      <c r="AH20" s="64" t="s">
        <v>42</v>
      </c>
      <c r="AI20" s="64" t="s">
        <v>42</v>
      </c>
      <c r="AJ20" s="64" t="s">
        <v>42</v>
      </c>
      <c r="AK20" s="64" t="s">
        <v>42</v>
      </c>
      <c r="AL20" s="64" t="str">
        <f t="shared" si="12"/>
        <v>WO</v>
      </c>
      <c r="AM20" s="73" t="s">
        <v>42</v>
      </c>
      <c r="AN20" s="39"/>
      <c r="AO20" s="28">
        <v>14</v>
      </c>
      <c r="AP20" s="21">
        <v>1014</v>
      </c>
      <c r="AQ20" s="33" t="str">
        <f t="shared" si="5"/>
        <v>June</v>
      </c>
      <c r="AR20" s="21" t="s">
        <v>16</v>
      </c>
      <c r="AS20" s="29">
        <f t="shared" si="6"/>
        <v>22</v>
      </c>
      <c r="AT20" s="29">
        <f t="shared" si="7"/>
        <v>2</v>
      </c>
      <c r="AU20" s="29">
        <f t="shared" si="8"/>
        <v>1</v>
      </c>
      <c r="AV20" s="29">
        <f t="shared" si="9"/>
        <v>5</v>
      </c>
      <c r="AW20" s="30">
        <f t="shared" si="11"/>
        <v>30</v>
      </c>
      <c r="AX20" s="29">
        <f>JUNReport[[#This Row],[Days]]-JUNReport[[#This Row],[Adsent]]</f>
        <v>28</v>
      </c>
      <c r="AY20" s="31">
        <v>15000</v>
      </c>
      <c r="AZ20" s="32">
        <f>JUNReport[[#This Row],[Salary]]/JUNReport[[#This Row],[Days]]</f>
        <v>500</v>
      </c>
      <c r="BA20" s="31">
        <f>JUNReport[[#This Row],[Perday salary]]*JUNReport[[#This Row],[Adsent]]</f>
        <v>1000</v>
      </c>
      <c r="BB20" s="31">
        <f>JUNReport[[#This Row],[Salary]]-JUNReport[[#This Row],[Detuction ]]</f>
        <v>14000</v>
      </c>
      <c r="BC20" s="29"/>
      <c r="BD20" s="39"/>
      <c r="BE20" s="37"/>
      <c r="BF20" s="37"/>
      <c r="BG20" s="37"/>
      <c r="BH20" s="37"/>
      <c r="BI20" s="37"/>
      <c r="BJ20" s="37"/>
    </row>
    <row r="21" spans="1:62" ht="15.6" x14ac:dyDescent="0.3">
      <c r="D21" s="37"/>
      <c r="E21" s="41"/>
      <c r="F21" s="20">
        <v>15</v>
      </c>
      <c r="G21" s="21">
        <v>1015</v>
      </c>
      <c r="H21" s="21" t="s">
        <v>17</v>
      </c>
      <c r="I21" s="61">
        <f t="shared" si="3"/>
        <v>5</v>
      </c>
      <c r="J21" s="64" t="str">
        <f t="shared" si="10"/>
        <v>WO</v>
      </c>
      <c r="K21" s="64" t="s">
        <v>42</v>
      </c>
      <c r="L21" s="64" t="s">
        <v>42</v>
      </c>
      <c r="M21" s="64" t="s">
        <v>42</v>
      </c>
      <c r="N21" s="64" t="s">
        <v>44</v>
      </c>
      <c r="O21" s="64" t="s">
        <v>42</v>
      </c>
      <c r="P21" s="64" t="s">
        <v>42</v>
      </c>
      <c r="Q21" s="64" t="str">
        <f t="shared" si="10"/>
        <v>WO</v>
      </c>
      <c r="R21" s="64" t="s">
        <v>42</v>
      </c>
      <c r="S21" s="64" t="s">
        <v>42</v>
      </c>
      <c r="T21" s="64" t="s">
        <v>42</v>
      </c>
      <c r="U21" s="64" t="s">
        <v>42</v>
      </c>
      <c r="V21" s="64" t="s">
        <v>42</v>
      </c>
      <c r="W21" s="64" t="s">
        <v>42</v>
      </c>
      <c r="X21" s="64" t="str">
        <f t="shared" si="10"/>
        <v>WO</v>
      </c>
      <c r="Y21" s="64" t="s">
        <v>42</v>
      </c>
      <c r="Z21" s="64" t="s">
        <v>42</v>
      </c>
      <c r="AA21" s="64" t="s">
        <v>42</v>
      </c>
      <c r="AB21" s="64" t="s">
        <v>42</v>
      </c>
      <c r="AC21" s="64" t="s">
        <v>42</v>
      </c>
      <c r="AD21" s="64" t="s">
        <v>42</v>
      </c>
      <c r="AE21" s="64" t="str">
        <f t="shared" si="12"/>
        <v>WO</v>
      </c>
      <c r="AF21" s="64" t="s">
        <v>42</v>
      </c>
      <c r="AG21" s="64" t="s">
        <v>42</v>
      </c>
      <c r="AH21" s="64" t="s">
        <v>42</v>
      </c>
      <c r="AI21" s="64" t="s">
        <v>42</v>
      </c>
      <c r="AJ21" s="64" t="s">
        <v>42</v>
      </c>
      <c r="AK21" s="64" t="s">
        <v>42</v>
      </c>
      <c r="AL21" s="64" t="str">
        <f t="shared" si="12"/>
        <v>WO</v>
      </c>
      <c r="AM21" s="73" t="s">
        <v>42</v>
      </c>
      <c r="AN21" s="39"/>
      <c r="AO21" s="28">
        <v>15</v>
      </c>
      <c r="AP21" s="21">
        <v>1015</v>
      </c>
      <c r="AQ21" s="33" t="str">
        <f t="shared" si="5"/>
        <v>June</v>
      </c>
      <c r="AR21" s="21" t="s">
        <v>17</v>
      </c>
      <c r="AS21" s="29">
        <f t="shared" si="6"/>
        <v>24</v>
      </c>
      <c r="AT21" s="29">
        <f t="shared" si="7"/>
        <v>0</v>
      </c>
      <c r="AU21" s="29">
        <f t="shared" si="8"/>
        <v>1</v>
      </c>
      <c r="AV21" s="29">
        <f t="shared" si="9"/>
        <v>5</v>
      </c>
      <c r="AW21" s="30">
        <f t="shared" si="11"/>
        <v>30</v>
      </c>
      <c r="AX21" s="29">
        <f>JUNReport[[#This Row],[Days]]-JUNReport[[#This Row],[Adsent]]</f>
        <v>30</v>
      </c>
      <c r="AY21" s="31">
        <v>46000</v>
      </c>
      <c r="AZ21" s="32">
        <f>JUNReport[[#This Row],[Salary]]/JUNReport[[#This Row],[Days]]</f>
        <v>1533.3333333333333</v>
      </c>
      <c r="BA21" s="31">
        <f>JUNReport[[#This Row],[Perday salary]]*JUNReport[[#This Row],[Adsent]]</f>
        <v>0</v>
      </c>
      <c r="BB21" s="31">
        <f>JUNReport[[#This Row],[Salary]]-JUNReport[[#This Row],[Detuction ]]</f>
        <v>46000</v>
      </c>
      <c r="BC21" s="29"/>
      <c r="BD21" s="39"/>
      <c r="BE21" s="37"/>
      <c r="BF21" s="37"/>
      <c r="BG21" s="37"/>
      <c r="BH21" s="37"/>
      <c r="BI21" s="37"/>
      <c r="BJ21" s="37"/>
    </row>
    <row r="22" spans="1:62" ht="15.6" x14ac:dyDescent="0.3">
      <c r="D22" s="37"/>
      <c r="E22" s="41"/>
      <c r="F22" s="20">
        <v>16</v>
      </c>
      <c r="G22" s="21">
        <v>1016</v>
      </c>
      <c r="H22" s="21" t="s">
        <v>18</v>
      </c>
      <c r="I22" s="61">
        <f t="shared" si="3"/>
        <v>5</v>
      </c>
      <c r="J22" s="64" t="str">
        <f t="shared" si="10"/>
        <v>WO</v>
      </c>
      <c r="K22" s="64" t="s">
        <v>42</v>
      </c>
      <c r="L22" s="64" t="s">
        <v>42</v>
      </c>
      <c r="M22" s="64" t="s">
        <v>42</v>
      </c>
      <c r="N22" s="64" t="s">
        <v>44</v>
      </c>
      <c r="O22" s="64" t="s">
        <v>42</v>
      </c>
      <c r="P22" s="64" t="s">
        <v>42</v>
      </c>
      <c r="Q22" s="64" t="str">
        <f t="shared" si="10"/>
        <v>WO</v>
      </c>
      <c r="R22" s="64" t="s">
        <v>42</v>
      </c>
      <c r="S22" s="64" t="s">
        <v>42</v>
      </c>
      <c r="T22" s="64" t="s">
        <v>42</v>
      </c>
      <c r="U22" s="64" t="s">
        <v>42</v>
      </c>
      <c r="V22" s="64" t="s">
        <v>42</v>
      </c>
      <c r="W22" s="64" t="s">
        <v>42</v>
      </c>
      <c r="X22" s="64" t="str">
        <f t="shared" si="10"/>
        <v>WO</v>
      </c>
      <c r="Y22" s="64" t="s">
        <v>42</v>
      </c>
      <c r="Z22" s="64" t="s">
        <v>42</v>
      </c>
      <c r="AA22" s="64" t="s">
        <v>42</v>
      </c>
      <c r="AB22" s="64" t="s">
        <v>43</v>
      </c>
      <c r="AC22" s="64" t="s">
        <v>42</v>
      </c>
      <c r="AD22" s="64" t="s">
        <v>42</v>
      </c>
      <c r="AE22" s="64" t="str">
        <f t="shared" si="12"/>
        <v>WO</v>
      </c>
      <c r="AF22" s="64" t="s">
        <v>42</v>
      </c>
      <c r="AG22" s="64" t="s">
        <v>42</v>
      </c>
      <c r="AH22" s="64" t="s">
        <v>42</v>
      </c>
      <c r="AI22" s="64" t="s">
        <v>42</v>
      </c>
      <c r="AJ22" s="64" t="s">
        <v>42</v>
      </c>
      <c r="AK22" s="64" t="s">
        <v>42</v>
      </c>
      <c r="AL22" s="64" t="str">
        <f t="shared" si="12"/>
        <v>WO</v>
      </c>
      <c r="AM22" s="73" t="s">
        <v>42</v>
      </c>
      <c r="AN22" s="39"/>
      <c r="AO22" s="28">
        <v>16</v>
      </c>
      <c r="AP22" s="21">
        <v>1016</v>
      </c>
      <c r="AQ22" s="33" t="str">
        <f t="shared" si="5"/>
        <v>June</v>
      </c>
      <c r="AR22" s="21" t="s">
        <v>18</v>
      </c>
      <c r="AS22" s="29">
        <f t="shared" si="6"/>
        <v>23</v>
      </c>
      <c r="AT22" s="29">
        <f t="shared" si="7"/>
        <v>1</v>
      </c>
      <c r="AU22" s="29">
        <f t="shared" si="8"/>
        <v>1</v>
      </c>
      <c r="AV22" s="29">
        <f t="shared" si="9"/>
        <v>5</v>
      </c>
      <c r="AW22" s="30">
        <f t="shared" si="11"/>
        <v>30</v>
      </c>
      <c r="AX22" s="29">
        <f>JUNReport[[#This Row],[Days]]-JUNReport[[#This Row],[Adsent]]</f>
        <v>29</v>
      </c>
      <c r="AY22" s="31">
        <v>52000</v>
      </c>
      <c r="AZ22" s="32">
        <f>JUNReport[[#This Row],[Salary]]/JUNReport[[#This Row],[Days]]</f>
        <v>1733.3333333333333</v>
      </c>
      <c r="BA22" s="31">
        <f>JUNReport[[#This Row],[Perday salary]]*JUNReport[[#This Row],[Adsent]]</f>
        <v>1733.3333333333333</v>
      </c>
      <c r="BB22" s="31">
        <f>JUNReport[[#This Row],[Salary]]-JUNReport[[#This Row],[Detuction ]]</f>
        <v>50266.666666666664</v>
      </c>
      <c r="BC22" s="29"/>
      <c r="BD22" s="39"/>
      <c r="BE22" s="37"/>
      <c r="BF22" s="37"/>
      <c r="BG22" s="37"/>
      <c r="BH22" s="37"/>
      <c r="BI22" s="37"/>
      <c r="BJ22" s="37"/>
    </row>
    <row r="23" spans="1:62" ht="15.6" x14ac:dyDescent="0.3">
      <c r="D23" s="37"/>
      <c r="E23" s="41"/>
      <c r="F23" s="20">
        <v>17</v>
      </c>
      <c r="G23" s="21">
        <v>1017</v>
      </c>
      <c r="H23" s="21" t="s">
        <v>19</v>
      </c>
      <c r="I23" s="61">
        <f t="shared" si="3"/>
        <v>5</v>
      </c>
      <c r="J23" s="64" t="str">
        <f t="shared" si="10"/>
        <v>WO</v>
      </c>
      <c r="K23" s="64" t="s">
        <v>42</v>
      </c>
      <c r="L23" s="64" t="s">
        <v>42</v>
      </c>
      <c r="M23" s="64" t="s">
        <v>42</v>
      </c>
      <c r="N23" s="64" t="s">
        <v>44</v>
      </c>
      <c r="O23" s="64" t="s">
        <v>42</v>
      </c>
      <c r="P23" s="64" t="s">
        <v>42</v>
      </c>
      <c r="Q23" s="64" t="str">
        <f t="shared" si="10"/>
        <v>WO</v>
      </c>
      <c r="R23" s="64" t="s">
        <v>42</v>
      </c>
      <c r="S23" s="64" t="s">
        <v>42</v>
      </c>
      <c r="T23" s="64" t="s">
        <v>42</v>
      </c>
      <c r="U23" s="64" t="s">
        <v>42</v>
      </c>
      <c r="V23" s="64" t="s">
        <v>42</v>
      </c>
      <c r="W23" s="64" t="s">
        <v>42</v>
      </c>
      <c r="X23" s="64" t="str">
        <f t="shared" si="10"/>
        <v>WO</v>
      </c>
      <c r="Y23" s="64" t="s">
        <v>42</v>
      </c>
      <c r="Z23" s="64" t="s">
        <v>42</v>
      </c>
      <c r="AA23" s="64" t="s">
        <v>42</v>
      </c>
      <c r="AB23" s="64" t="s">
        <v>42</v>
      </c>
      <c r="AC23" s="64" t="s">
        <v>42</v>
      </c>
      <c r="AD23" s="64" t="s">
        <v>42</v>
      </c>
      <c r="AE23" s="64" t="str">
        <f t="shared" si="12"/>
        <v>WO</v>
      </c>
      <c r="AF23" s="64" t="s">
        <v>42</v>
      </c>
      <c r="AG23" s="64" t="s">
        <v>43</v>
      </c>
      <c r="AH23" s="64" t="s">
        <v>42</v>
      </c>
      <c r="AI23" s="64" t="s">
        <v>42</v>
      </c>
      <c r="AJ23" s="64" t="s">
        <v>42</v>
      </c>
      <c r="AK23" s="64" t="s">
        <v>42</v>
      </c>
      <c r="AL23" s="64" t="str">
        <f t="shared" si="12"/>
        <v>WO</v>
      </c>
      <c r="AM23" s="73" t="s">
        <v>42</v>
      </c>
      <c r="AN23" s="39"/>
      <c r="AO23" s="28">
        <v>17</v>
      </c>
      <c r="AP23" s="21">
        <v>1017</v>
      </c>
      <c r="AQ23" s="33" t="str">
        <f t="shared" si="5"/>
        <v>June</v>
      </c>
      <c r="AR23" s="21" t="s">
        <v>19</v>
      </c>
      <c r="AS23" s="29">
        <f t="shared" si="6"/>
        <v>23</v>
      </c>
      <c r="AT23" s="29">
        <f t="shared" si="7"/>
        <v>1</v>
      </c>
      <c r="AU23" s="29">
        <f t="shared" si="8"/>
        <v>1</v>
      </c>
      <c r="AV23" s="29">
        <f t="shared" si="9"/>
        <v>5</v>
      </c>
      <c r="AW23" s="30">
        <f t="shared" si="11"/>
        <v>30</v>
      </c>
      <c r="AX23" s="29">
        <f>JUNReport[[#This Row],[Days]]-JUNReport[[#This Row],[Adsent]]</f>
        <v>29</v>
      </c>
      <c r="AY23" s="31">
        <v>42000</v>
      </c>
      <c r="AZ23" s="32">
        <f>JUNReport[[#This Row],[Salary]]/JUNReport[[#This Row],[Days]]</f>
        <v>1400</v>
      </c>
      <c r="BA23" s="31">
        <f>JUNReport[[#This Row],[Perday salary]]*JUNReport[[#This Row],[Adsent]]</f>
        <v>1400</v>
      </c>
      <c r="BB23" s="31">
        <f>JUNReport[[#This Row],[Salary]]-JUNReport[[#This Row],[Detuction ]]</f>
        <v>40600</v>
      </c>
      <c r="BC23" s="29"/>
      <c r="BD23" s="39"/>
      <c r="BE23" s="37"/>
      <c r="BF23" s="37"/>
      <c r="BG23" s="37"/>
      <c r="BH23" s="37"/>
      <c r="BI23" s="37"/>
      <c r="BJ23" s="37"/>
    </row>
    <row r="24" spans="1:62" ht="15.6" x14ac:dyDescent="0.3">
      <c r="D24" s="37"/>
      <c r="E24" s="41"/>
      <c r="F24" s="20">
        <v>18</v>
      </c>
      <c r="G24" s="21">
        <v>1018</v>
      </c>
      <c r="H24" s="21" t="s">
        <v>20</v>
      </c>
      <c r="I24" s="61">
        <f t="shared" si="3"/>
        <v>5</v>
      </c>
      <c r="J24" s="64" t="str">
        <f t="shared" si="10"/>
        <v>WO</v>
      </c>
      <c r="K24" s="64" t="s">
        <v>42</v>
      </c>
      <c r="L24" s="64" t="s">
        <v>42</v>
      </c>
      <c r="M24" s="64" t="s">
        <v>42</v>
      </c>
      <c r="N24" s="64" t="s">
        <v>44</v>
      </c>
      <c r="O24" s="64" t="s">
        <v>42</v>
      </c>
      <c r="P24" s="64" t="s">
        <v>42</v>
      </c>
      <c r="Q24" s="64" t="str">
        <f t="shared" si="10"/>
        <v>WO</v>
      </c>
      <c r="R24" s="64" t="s">
        <v>42</v>
      </c>
      <c r="S24" s="64" t="s">
        <v>42</v>
      </c>
      <c r="T24" s="64" t="s">
        <v>42</v>
      </c>
      <c r="U24" s="64" t="s">
        <v>42</v>
      </c>
      <c r="V24" s="64" t="s">
        <v>42</v>
      </c>
      <c r="W24" s="64" t="s">
        <v>42</v>
      </c>
      <c r="X24" s="64" t="str">
        <f t="shared" si="10"/>
        <v>WO</v>
      </c>
      <c r="Y24" s="64" t="s">
        <v>42</v>
      </c>
      <c r="Z24" s="64" t="s">
        <v>42</v>
      </c>
      <c r="AA24" s="64" t="s">
        <v>42</v>
      </c>
      <c r="AB24" s="64" t="s">
        <v>42</v>
      </c>
      <c r="AC24" s="64" t="s">
        <v>42</v>
      </c>
      <c r="AD24" s="64" t="s">
        <v>42</v>
      </c>
      <c r="AE24" s="64" t="str">
        <f t="shared" si="12"/>
        <v>WO</v>
      </c>
      <c r="AF24" s="64" t="s">
        <v>42</v>
      </c>
      <c r="AG24" s="64" t="s">
        <v>42</v>
      </c>
      <c r="AH24" s="64" t="s">
        <v>42</v>
      </c>
      <c r="AI24" s="64" t="s">
        <v>42</v>
      </c>
      <c r="AJ24" s="64" t="s">
        <v>42</v>
      </c>
      <c r="AK24" s="64" t="s">
        <v>42</v>
      </c>
      <c r="AL24" s="64" t="str">
        <f t="shared" si="12"/>
        <v>WO</v>
      </c>
      <c r="AM24" s="73" t="s">
        <v>42</v>
      </c>
      <c r="AN24" s="39"/>
      <c r="AO24" s="28">
        <v>18</v>
      </c>
      <c r="AP24" s="21">
        <v>1018</v>
      </c>
      <c r="AQ24" s="33" t="str">
        <f t="shared" si="5"/>
        <v>June</v>
      </c>
      <c r="AR24" s="21" t="s">
        <v>20</v>
      </c>
      <c r="AS24" s="29">
        <f t="shared" si="6"/>
        <v>24</v>
      </c>
      <c r="AT24" s="29">
        <f t="shared" si="7"/>
        <v>0</v>
      </c>
      <c r="AU24" s="29">
        <f t="shared" si="8"/>
        <v>1</v>
      </c>
      <c r="AV24" s="29">
        <f t="shared" si="9"/>
        <v>5</v>
      </c>
      <c r="AW24" s="30">
        <f t="shared" si="11"/>
        <v>30</v>
      </c>
      <c r="AX24" s="29">
        <f>JUNReport[[#This Row],[Days]]-JUNReport[[#This Row],[Adsent]]</f>
        <v>30</v>
      </c>
      <c r="AY24" s="31">
        <v>62000</v>
      </c>
      <c r="AZ24" s="32">
        <f>JUNReport[[#This Row],[Salary]]/JUNReport[[#This Row],[Days]]</f>
        <v>2066.6666666666665</v>
      </c>
      <c r="BA24" s="31">
        <f>JUNReport[[#This Row],[Perday salary]]*JUNReport[[#This Row],[Adsent]]</f>
        <v>0</v>
      </c>
      <c r="BB24" s="31">
        <f>JUNReport[[#This Row],[Salary]]-JUNReport[[#This Row],[Detuction ]]</f>
        <v>62000</v>
      </c>
      <c r="BC24" s="29"/>
      <c r="BD24" s="39"/>
      <c r="BE24" s="37"/>
      <c r="BF24" s="37"/>
      <c r="BG24" s="37"/>
      <c r="BH24" s="37"/>
      <c r="BI24" s="37"/>
      <c r="BJ24" s="37"/>
    </row>
    <row r="25" spans="1:62" ht="15.6" x14ac:dyDescent="0.3">
      <c r="D25" s="37"/>
      <c r="E25" s="41"/>
      <c r="F25" s="20">
        <v>19</v>
      </c>
      <c r="G25" s="21">
        <v>1019</v>
      </c>
      <c r="H25" s="21" t="s">
        <v>21</v>
      </c>
      <c r="I25" s="61">
        <f t="shared" si="3"/>
        <v>5</v>
      </c>
      <c r="J25" s="64" t="str">
        <f t="shared" si="10"/>
        <v>WO</v>
      </c>
      <c r="K25" s="64" t="s">
        <v>42</v>
      </c>
      <c r="L25" s="64" t="s">
        <v>42</v>
      </c>
      <c r="M25" s="64" t="s">
        <v>42</v>
      </c>
      <c r="N25" s="64" t="s">
        <v>44</v>
      </c>
      <c r="O25" s="64" t="s">
        <v>42</v>
      </c>
      <c r="P25" s="64" t="s">
        <v>42</v>
      </c>
      <c r="Q25" s="64" t="str">
        <f t="shared" si="10"/>
        <v>WO</v>
      </c>
      <c r="R25" s="64" t="s">
        <v>42</v>
      </c>
      <c r="S25" s="64" t="s">
        <v>42</v>
      </c>
      <c r="T25" s="64" t="s">
        <v>42</v>
      </c>
      <c r="U25" s="64" t="s">
        <v>42</v>
      </c>
      <c r="V25" s="64" t="s">
        <v>42</v>
      </c>
      <c r="W25" s="64" t="s">
        <v>42</v>
      </c>
      <c r="X25" s="64" t="str">
        <f t="shared" si="10"/>
        <v>WO</v>
      </c>
      <c r="Y25" s="64" t="s">
        <v>42</v>
      </c>
      <c r="Z25" s="64" t="s">
        <v>42</v>
      </c>
      <c r="AA25" s="64" t="s">
        <v>42</v>
      </c>
      <c r="AB25" s="64" t="s">
        <v>42</v>
      </c>
      <c r="AC25" s="64" t="s">
        <v>42</v>
      </c>
      <c r="AD25" s="64" t="s">
        <v>42</v>
      </c>
      <c r="AE25" s="64" t="str">
        <f t="shared" si="12"/>
        <v>WO</v>
      </c>
      <c r="AF25" s="64" t="s">
        <v>42</v>
      </c>
      <c r="AG25" s="64" t="s">
        <v>42</v>
      </c>
      <c r="AH25" s="64" t="s">
        <v>42</v>
      </c>
      <c r="AI25" s="64" t="s">
        <v>42</v>
      </c>
      <c r="AJ25" s="64" t="s">
        <v>42</v>
      </c>
      <c r="AK25" s="64" t="s">
        <v>42</v>
      </c>
      <c r="AL25" s="64" t="str">
        <f t="shared" si="12"/>
        <v>WO</v>
      </c>
      <c r="AM25" s="73" t="s">
        <v>42</v>
      </c>
      <c r="AN25" s="39"/>
      <c r="AO25" s="28">
        <v>19</v>
      </c>
      <c r="AP25" s="21">
        <v>1019</v>
      </c>
      <c r="AQ25" s="33" t="str">
        <f t="shared" si="5"/>
        <v>June</v>
      </c>
      <c r="AR25" s="21" t="s">
        <v>21</v>
      </c>
      <c r="AS25" s="29">
        <f t="shared" si="6"/>
        <v>24</v>
      </c>
      <c r="AT25" s="29">
        <f t="shared" si="7"/>
        <v>0</v>
      </c>
      <c r="AU25" s="29">
        <f t="shared" si="8"/>
        <v>1</v>
      </c>
      <c r="AV25" s="29">
        <f t="shared" si="9"/>
        <v>5</v>
      </c>
      <c r="AW25" s="30">
        <f t="shared" si="11"/>
        <v>30</v>
      </c>
      <c r="AX25" s="29">
        <f>JUNReport[[#This Row],[Days]]-JUNReport[[#This Row],[Adsent]]</f>
        <v>30</v>
      </c>
      <c r="AY25" s="31">
        <v>41000</v>
      </c>
      <c r="AZ25" s="32">
        <f>JUNReport[[#This Row],[Salary]]/JUNReport[[#This Row],[Days]]</f>
        <v>1366.6666666666667</v>
      </c>
      <c r="BA25" s="31">
        <f>JUNReport[[#This Row],[Perday salary]]*JUNReport[[#This Row],[Adsent]]</f>
        <v>0</v>
      </c>
      <c r="BB25" s="31">
        <f>JUNReport[[#This Row],[Salary]]-JUNReport[[#This Row],[Detuction ]]</f>
        <v>41000</v>
      </c>
      <c r="BC25" s="29"/>
      <c r="BD25" s="39"/>
      <c r="BE25" s="37"/>
      <c r="BF25" s="37"/>
      <c r="BG25" s="37"/>
      <c r="BH25" s="37"/>
      <c r="BI25" s="37"/>
      <c r="BJ25" s="37"/>
    </row>
    <row r="26" spans="1:62" ht="16.2" thickBot="1" x14ac:dyDescent="0.35">
      <c r="D26" s="37"/>
      <c r="E26" s="41"/>
      <c r="F26" s="24">
        <v>20</v>
      </c>
      <c r="G26" s="25">
        <v>1020</v>
      </c>
      <c r="H26" s="25" t="s">
        <v>22</v>
      </c>
      <c r="I26" s="62">
        <f t="shared" si="3"/>
        <v>5</v>
      </c>
      <c r="J26" s="65" t="str">
        <f t="shared" si="10"/>
        <v>WO</v>
      </c>
      <c r="K26" s="65" t="s">
        <v>42</v>
      </c>
      <c r="L26" s="65" t="s">
        <v>42</v>
      </c>
      <c r="M26" s="65" t="s">
        <v>42</v>
      </c>
      <c r="N26" s="65" t="s">
        <v>44</v>
      </c>
      <c r="O26" s="65" t="s">
        <v>42</v>
      </c>
      <c r="P26" s="65" t="s">
        <v>42</v>
      </c>
      <c r="Q26" s="65" t="str">
        <f t="shared" si="10"/>
        <v>WO</v>
      </c>
      <c r="R26" s="65" t="s">
        <v>42</v>
      </c>
      <c r="S26" s="65" t="s">
        <v>42</v>
      </c>
      <c r="T26" s="65" t="s">
        <v>42</v>
      </c>
      <c r="U26" s="65" t="s">
        <v>42</v>
      </c>
      <c r="V26" s="65" t="s">
        <v>42</v>
      </c>
      <c r="W26" s="65" t="s">
        <v>42</v>
      </c>
      <c r="X26" s="65" t="str">
        <f t="shared" si="10"/>
        <v>WO</v>
      </c>
      <c r="Y26" s="65" t="s">
        <v>42</v>
      </c>
      <c r="Z26" s="65" t="s">
        <v>42</v>
      </c>
      <c r="AA26" s="65" t="s">
        <v>42</v>
      </c>
      <c r="AB26" s="65" t="s">
        <v>42</v>
      </c>
      <c r="AC26" s="65" t="s">
        <v>42</v>
      </c>
      <c r="AD26" s="65" t="s">
        <v>42</v>
      </c>
      <c r="AE26" s="65" t="str">
        <f t="shared" si="12"/>
        <v>WO</v>
      </c>
      <c r="AF26" s="65" t="s">
        <v>42</v>
      </c>
      <c r="AG26" s="65" t="s">
        <v>42</v>
      </c>
      <c r="AH26" s="65" t="s">
        <v>42</v>
      </c>
      <c r="AI26" s="65" t="s">
        <v>42</v>
      </c>
      <c r="AJ26" s="65" t="s">
        <v>42</v>
      </c>
      <c r="AK26" s="65" t="s">
        <v>42</v>
      </c>
      <c r="AL26" s="65" t="str">
        <f t="shared" si="12"/>
        <v>WO</v>
      </c>
      <c r="AM26" s="74" t="s">
        <v>42</v>
      </c>
      <c r="AN26" s="39"/>
      <c r="AO26" s="28">
        <v>20</v>
      </c>
      <c r="AP26" s="21">
        <v>1020</v>
      </c>
      <c r="AQ26" s="33" t="str">
        <f t="shared" si="5"/>
        <v>June</v>
      </c>
      <c r="AR26" s="21" t="s">
        <v>22</v>
      </c>
      <c r="AS26" s="29">
        <f t="shared" si="6"/>
        <v>24</v>
      </c>
      <c r="AT26" s="29">
        <f t="shared" si="7"/>
        <v>0</v>
      </c>
      <c r="AU26" s="29">
        <f t="shared" si="8"/>
        <v>1</v>
      </c>
      <c r="AV26" s="29">
        <f t="shared" si="9"/>
        <v>5</v>
      </c>
      <c r="AW26" s="30">
        <f t="shared" si="11"/>
        <v>30</v>
      </c>
      <c r="AX26" s="29">
        <f>JUNReport[[#This Row],[Days]]-JUNReport[[#This Row],[Adsent]]</f>
        <v>30</v>
      </c>
      <c r="AY26" s="31">
        <v>30000</v>
      </c>
      <c r="AZ26" s="32">
        <f>JUNReport[[#This Row],[Salary]]/JUNReport[[#This Row],[Days]]</f>
        <v>1000</v>
      </c>
      <c r="BA26" s="31">
        <f>JUNReport[[#This Row],[Perday salary]]*JUNReport[[#This Row],[Adsent]]</f>
        <v>0</v>
      </c>
      <c r="BB26" s="31">
        <f>JUNReport[[#This Row],[Salary]]-JUNReport[[#This Row],[Detuction ]]</f>
        <v>30000</v>
      </c>
      <c r="BC26" s="29"/>
      <c r="BD26" s="39"/>
      <c r="BE26" s="37"/>
      <c r="BF26" s="37"/>
      <c r="BG26" s="37"/>
      <c r="BH26" s="37"/>
      <c r="BI26" s="37"/>
      <c r="BJ26" s="37"/>
    </row>
    <row r="27" spans="1:62" x14ac:dyDescent="0.3">
      <c r="D27" s="37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  <c r="AA27" s="41"/>
      <c r="AB27" s="41"/>
      <c r="AC27" s="41"/>
      <c r="AD27" s="41"/>
      <c r="AE27" s="41"/>
      <c r="AF27" s="41"/>
      <c r="AG27" s="41"/>
      <c r="AH27" s="41"/>
      <c r="AI27" s="41"/>
      <c r="AJ27" s="41"/>
      <c r="AK27" s="41"/>
      <c r="AL27" s="41"/>
      <c r="AM27" s="41"/>
      <c r="AN27" s="39"/>
      <c r="AO27" s="39"/>
      <c r="AP27" s="39"/>
      <c r="AQ27" s="39"/>
      <c r="AR27" s="39"/>
      <c r="AS27" s="39"/>
      <c r="AT27" s="39"/>
      <c r="AU27" s="39"/>
      <c r="AV27" s="39"/>
      <c r="AW27" s="39"/>
      <c r="AX27" s="39"/>
      <c r="AY27" s="39"/>
      <c r="AZ27" s="39"/>
      <c r="BA27" s="39"/>
      <c r="BB27" s="39"/>
      <c r="BC27" s="39"/>
      <c r="BD27" s="39"/>
      <c r="BE27" s="37"/>
      <c r="BF27" s="37"/>
      <c r="BG27" s="37"/>
      <c r="BH27" s="37"/>
      <c r="BI27" s="37"/>
      <c r="BJ27" s="37"/>
    </row>
    <row r="28" spans="1:62" x14ac:dyDescent="0.3"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  <c r="AA28" s="37"/>
      <c r="AB28" s="37"/>
      <c r="AC28" s="37"/>
      <c r="AD28" s="37"/>
      <c r="AE28" s="37"/>
      <c r="AF28" s="37"/>
      <c r="AG28" s="37"/>
      <c r="AH28" s="37"/>
      <c r="AI28" s="37"/>
      <c r="AJ28" s="37"/>
      <c r="AK28" s="37"/>
      <c r="AL28" s="37"/>
      <c r="AM28" s="37"/>
      <c r="AN28" s="37"/>
      <c r="AO28" s="37"/>
      <c r="AP28" s="37"/>
      <c r="AQ28" s="37"/>
      <c r="AR28" s="37"/>
      <c r="AS28" s="37"/>
      <c r="AT28" s="37"/>
      <c r="AU28" s="37"/>
      <c r="AV28" s="37"/>
      <c r="AW28" s="37"/>
      <c r="AX28" s="37"/>
      <c r="AY28" s="37"/>
      <c r="AZ28" s="37"/>
      <c r="BA28" s="37"/>
      <c r="BB28" s="37"/>
      <c r="BC28" s="37"/>
      <c r="BD28" s="37"/>
      <c r="BE28" s="37"/>
      <c r="BF28" s="37"/>
      <c r="BG28" s="37"/>
      <c r="BH28" s="37"/>
      <c r="BI28" s="37"/>
      <c r="BJ28" s="37"/>
    </row>
    <row r="29" spans="1:62" x14ac:dyDescent="0.3"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  <c r="AA29" s="37"/>
      <c r="AB29" s="37"/>
      <c r="AC29" s="37"/>
      <c r="AD29" s="37"/>
      <c r="AE29" s="37"/>
      <c r="AF29" s="37"/>
      <c r="AG29" s="37"/>
      <c r="AH29" s="37"/>
      <c r="AI29" s="37"/>
      <c r="AJ29" s="37"/>
      <c r="AK29" s="37"/>
      <c r="AL29" s="37"/>
      <c r="AM29" s="37"/>
      <c r="AN29" s="37"/>
      <c r="AO29" s="37"/>
      <c r="AP29" s="37"/>
      <c r="AQ29" s="37"/>
      <c r="AR29" s="37"/>
      <c r="AS29" s="37"/>
      <c r="AT29" s="37"/>
      <c r="AU29" s="37"/>
      <c r="AV29" s="37"/>
      <c r="AW29" s="37"/>
      <c r="AX29" s="37"/>
      <c r="AY29" s="37"/>
      <c r="AZ29" s="37"/>
      <c r="BA29" s="37"/>
      <c r="BB29" s="37"/>
      <c r="BC29" s="37"/>
      <c r="BD29" s="37"/>
      <c r="BE29" s="37"/>
      <c r="BF29" s="37"/>
      <c r="BG29" s="37"/>
      <c r="BH29" s="37"/>
      <c r="BI29" s="37"/>
      <c r="BJ29" s="37"/>
    </row>
    <row r="30" spans="1:62" x14ac:dyDescent="0.3">
      <c r="A30" s="37"/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  <c r="AA30" s="37"/>
      <c r="AB30" s="37"/>
      <c r="AC30" s="37"/>
      <c r="AD30" s="37"/>
      <c r="AE30" s="37"/>
      <c r="AF30" s="37"/>
      <c r="AG30" s="37"/>
      <c r="AH30" s="37"/>
      <c r="AI30" s="37"/>
      <c r="AJ30" s="37"/>
      <c r="AK30" s="37"/>
      <c r="AL30" s="37"/>
      <c r="AM30" s="37"/>
      <c r="AN30" s="37"/>
      <c r="AO30" s="37"/>
      <c r="AP30" s="37"/>
      <c r="AQ30" s="37"/>
      <c r="AR30" s="37"/>
      <c r="AS30" s="37"/>
      <c r="AT30" s="37"/>
      <c r="AU30" s="37"/>
      <c r="AV30" s="37"/>
      <c r="AW30" s="37"/>
      <c r="AX30" s="37"/>
      <c r="AY30" s="37"/>
      <c r="AZ30" s="37"/>
      <c r="BA30" s="37"/>
      <c r="BB30" s="37"/>
      <c r="BC30" s="37"/>
      <c r="BD30" s="37"/>
      <c r="BE30" s="37"/>
      <c r="BF30" s="37"/>
      <c r="BG30" s="37"/>
      <c r="BH30" s="37"/>
      <c r="BI30" s="37"/>
      <c r="BJ30" s="37"/>
    </row>
    <row r="31" spans="1:62" x14ac:dyDescent="0.3">
      <c r="A31" s="37"/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  <c r="AA31" s="37"/>
      <c r="AB31" s="37"/>
      <c r="AC31" s="37"/>
      <c r="AD31" s="37"/>
      <c r="AE31" s="37"/>
      <c r="AF31" s="37"/>
      <c r="AG31" s="37"/>
      <c r="AH31" s="37"/>
      <c r="AI31" s="37"/>
      <c r="AJ31" s="37"/>
      <c r="AK31" s="37"/>
      <c r="AL31" s="37"/>
      <c r="AM31" s="37"/>
      <c r="AN31" s="37"/>
      <c r="AO31" s="37"/>
      <c r="AP31" s="37"/>
      <c r="AQ31" s="37"/>
      <c r="AR31" s="37"/>
      <c r="AS31" s="37"/>
      <c r="AT31" s="37"/>
      <c r="AU31" s="37"/>
      <c r="AV31" s="37"/>
      <c r="AW31" s="37"/>
      <c r="AX31" s="37"/>
      <c r="AY31" s="37"/>
      <c r="AZ31" s="37"/>
      <c r="BA31" s="37"/>
      <c r="BB31" s="37"/>
      <c r="BC31" s="37"/>
      <c r="BD31" s="37"/>
      <c r="BE31" s="37"/>
      <c r="BF31" s="37"/>
      <c r="BG31" s="37"/>
      <c r="BH31" s="37"/>
      <c r="BI31" s="37"/>
      <c r="BJ31" s="37"/>
    </row>
    <row r="32" spans="1:62" x14ac:dyDescent="0.3">
      <c r="A32" s="37"/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  <c r="AA32" s="37"/>
      <c r="AB32" s="37"/>
      <c r="AC32" s="37"/>
      <c r="AD32" s="37"/>
      <c r="AE32" s="37"/>
      <c r="AF32" s="37"/>
      <c r="AG32" s="37"/>
      <c r="AH32" s="37"/>
      <c r="AI32" s="37"/>
      <c r="AJ32" s="37"/>
      <c r="AK32" s="37"/>
      <c r="AL32" s="37"/>
      <c r="AM32" s="37"/>
      <c r="AN32" s="37"/>
      <c r="AO32" s="37"/>
      <c r="AP32" s="37"/>
      <c r="AQ32" s="37"/>
      <c r="AR32" s="37"/>
      <c r="AS32" s="37"/>
      <c r="AT32" s="37"/>
      <c r="AU32" s="37"/>
      <c r="AV32" s="37"/>
      <c r="AW32" s="37"/>
      <c r="AX32" s="37"/>
      <c r="AY32" s="37"/>
      <c r="AZ32" s="37"/>
      <c r="BA32" s="37"/>
      <c r="BB32" s="37"/>
      <c r="BC32" s="37"/>
      <c r="BD32" s="37"/>
      <c r="BE32" s="37"/>
      <c r="BF32" s="37"/>
      <c r="BG32" s="37"/>
      <c r="BH32" s="37"/>
      <c r="BI32" s="37"/>
      <c r="BJ32" s="37"/>
    </row>
    <row r="33" spans="1:62" x14ac:dyDescent="0.3">
      <c r="A33" s="37"/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  <c r="AA33" s="37"/>
      <c r="AB33" s="37"/>
      <c r="AC33" s="37"/>
      <c r="AD33" s="37"/>
      <c r="AE33" s="37"/>
      <c r="AF33" s="37"/>
      <c r="AG33" s="37"/>
      <c r="AH33" s="37"/>
      <c r="AI33" s="37"/>
      <c r="AJ33" s="37"/>
      <c r="AK33" s="37"/>
      <c r="AL33" s="37"/>
      <c r="AM33" s="37"/>
      <c r="AN33" s="37"/>
      <c r="AO33" s="37"/>
      <c r="AP33" s="37"/>
      <c r="AQ33" s="37"/>
      <c r="AR33" s="37"/>
      <c r="AS33" s="37"/>
      <c r="AT33" s="37"/>
      <c r="AU33" s="37"/>
      <c r="AV33" s="37"/>
      <c r="AW33" s="37"/>
      <c r="AX33" s="37"/>
      <c r="AY33" s="37"/>
      <c r="AZ33" s="37"/>
      <c r="BA33" s="37"/>
      <c r="BB33" s="37"/>
      <c r="BC33" s="37"/>
      <c r="BD33" s="37"/>
      <c r="BE33" s="37"/>
      <c r="BF33" s="37"/>
      <c r="BG33" s="37"/>
      <c r="BH33" s="37"/>
      <c r="BI33" s="37"/>
      <c r="BJ33" s="37"/>
    </row>
    <row r="34" spans="1:62" x14ac:dyDescent="0.3">
      <c r="A34" s="37"/>
      <c r="B34" s="37"/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  <c r="AA34" s="37"/>
      <c r="AB34" s="37"/>
      <c r="AC34" s="37"/>
      <c r="AD34" s="37"/>
      <c r="AE34" s="37"/>
      <c r="AF34" s="37"/>
      <c r="AG34" s="37"/>
      <c r="AH34" s="37"/>
      <c r="AI34" s="37"/>
      <c r="AJ34" s="37"/>
      <c r="AK34" s="37"/>
      <c r="AL34" s="37"/>
      <c r="AM34" s="37"/>
      <c r="AN34" s="37"/>
      <c r="AO34" s="37"/>
      <c r="AP34" s="37"/>
      <c r="AQ34" s="37"/>
      <c r="AR34" s="37"/>
      <c r="AS34" s="37"/>
      <c r="AT34" s="37"/>
      <c r="AU34" s="37"/>
      <c r="AV34" s="37"/>
      <c r="AW34" s="37"/>
      <c r="AX34" s="37"/>
      <c r="AY34" s="37"/>
      <c r="AZ34" s="37"/>
      <c r="BA34" s="37"/>
      <c r="BB34" s="37"/>
      <c r="BC34" s="37"/>
      <c r="BD34" s="37"/>
      <c r="BE34" s="37"/>
      <c r="BF34" s="37"/>
      <c r="BG34" s="37"/>
      <c r="BH34" s="37"/>
      <c r="BI34" s="37"/>
      <c r="BJ34" s="37"/>
    </row>
    <row r="35" spans="1:62" x14ac:dyDescent="0.3">
      <c r="A35" s="37"/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  <c r="AA35" s="37"/>
      <c r="AB35" s="37"/>
      <c r="AC35" s="37"/>
      <c r="AD35" s="37"/>
      <c r="AE35" s="37"/>
      <c r="AF35" s="37"/>
      <c r="AG35" s="37"/>
      <c r="AH35" s="37"/>
      <c r="AI35" s="37"/>
      <c r="AJ35" s="37"/>
      <c r="AK35" s="37"/>
      <c r="AL35" s="37"/>
      <c r="AM35" s="37"/>
      <c r="AN35" s="37"/>
      <c r="AO35" s="37"/>
      <c r="AP35" s="37"/>
      <c r="AQ35" s="37"/>
      <c r="AR35" s="37"/>
      <c r="AS35" s="37"/>
      <c r="AT35" s="37"/>
      <c r="AU35" s="37"/>
      <c r="AV35" s="37"/>
      <c r="AW35" s="37"/>
      <c r="AX35" s="37"/>
      <c r="AY35" s="37"/>
      <c r="AZ35" s="37"/>
      <c r="BA35" s="37"/>
      <c r="BB35" s="37"/>
      <c r="BC35" s="37"/>
      <c r="BD35" s="37"/>
      <c r="BE35" s="37"/>
      <c r="BF35" s="37"/>
      <c r="BG35" s="37"/>
      <c r="BH35" s="37"/>
      <c r="BI35" s="37"/>
      <c r="BJ35" s="37"/>
    </row>
    <row r="36" spans="1:62" x14ac:dyDescent="0.3">
      <c r="A36" s="37"/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  <c r="AA36" s="37"/>
      <c r="AB36" s="37"/>
      <c r="AC36" s="37"/>
      <c r="AD36" s="37"/>
      <c r="AE36" s="37"/>
      <c r="AF36" s="37"/>
      <c r="AG36" s="37"/>
      <c r="AH36" s="37"/>
      <c r="AI36" s="37"/>
      <c r="AJ36" s="37"/>
      <c r="AK36" s="37"/>
      <c r="AL36" s="37"/>
      <c r="AM36" s="37"/>
      <c r="AN36" s="37"/>
      <c r="AO36" s="37"/>
      <c r="AP36" s="37"/>
      <c r="AQ36" s="37"/>
      <c r="AR36" s="37"/>
      <c r="AS36" s="37"/>
      <c r="AT36" s="37"/>
      <c r="AU36" s="37"/>
      <c r="AV36" s="37"/>
      <c r="AW36" s="37"/>
      <c r="AX36" s="37"/>
      <c r="AY36" s="37"/>
      <c r="AZ36" s="37"/>
      <c r="BA36" s="37"/>
      <c r="BB36" s="37"/>
      <c r="BC36" s="37"/>
      <c r="BD36" s="37"/>
      <c r="BE36" s="37"/>
      <c r="BF36" s="37"/>
      <c r="BG36" s="37"/>
      <c r="BH36" s="37"/>
      <c r="BI36" s="37"/>
      <c r="BJ36" s="37"/>
    </row>
    <row r="37" spans="1:62" x14ac:dyDescent="0.3">
      <c r="A37" s="37"/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37"/>
      <c r="AB37" s="37"/>
      <c r="AC37" s="37"/>
      <c r="AD37" s="37"/>
      <c r="AE37" s="37"/>
      <c r="AF37" s="37"/>
      <c r="AG37" s="37"/>
      <c r="AH37" s="37"/>
      <c r="AI37" s="37"/>
      <c r="AJ37" s="37"/>
      <c r="AK37" s="37"/>
      <c r="AL37" s="37"/>
      <c r="AM37" s="37"/>
      <c r="AN37" s="37"/>
      <c r="AO37" s="37"/>
      <c r="AP37" s="37"/>
      <c r="AQ37" s="37"/>
      <c r="AR37" s="37"/>
      <c r="AS37" s="37"/>
      <c r="AT37" s="37"/>
      <c r="AU37" s="37"/>
      <c r="AV37" s="37"/>
      <c r="AW37" s="37"/>
      <c r="AX37" s="37"/>
      <c r="AY37" s="37"/>
      <c r="AZ37" s="37"/>
      <c r="BA37" s="37"/>
      <c r="BB37" s="37"/>
      <c r="BC37" s="37"/>
      <c r="BD37" s="37"/>
      <c r="BE37" s="37"/>
      <c r="BF37" s="37"/>
      <c r="BG37" s="37"/>
      <c r="BH37" s="37"/>
      <c r="BI37" s="37"/>
      <c r="BJ37" s="37"/>
    </row>
    <row r="38" spans="1:62" x14ac:dyDescent="0.3">
      <c r="A38" s="37"/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  <c r="AA38" s="37"/>
      <c r="AB38" s="37"/>
      <c r="AC38" s="37"/>
      <c r="AD38" s="37"/>
      <c r="AE38" s="37"/>
      <c r="AF38" s="37"/>
      <c r="AG38" s="37"/>
      <c r="AH38" s="37"/>
      <c r="AI38" s="37"/>
      <c r="AJ38" s="37"/>
      <c r="AK38" s="37"/>
      <c r="AL38" s="37"/>
      <c r="AM38" s="37"/>
      <c r="AN38" s="37"/>
      <c r="AO38" s="37"/>
      <c r="AP38" s="37"/>
      <c r="AQ38" s="37"/>
      <c r="AR38" s="37"/>
      <c r="AS38" s="37"/>
      <c r="AT38" s="37"/>
      <c r="AU38" s="37"/>
      <c r="AV38" s="37"/>
      <c r="AW38" s="37"/>
      <c r="AX38" s="37"/>
      <c r="AY38" s="37"/>
      <c r="AZ38" s="37"/>
      <c r="BA38" s="37"/>
      <c r="BB38" s="37"/>
      <c r="BC38" s="37"/>
      <c r="BD38" s="37"/>
      <c r="BE38" s="37"/>
      <c r="BF38" s="37"/>
      <c r="BG38" s="37"/>
      <c r="BH38" s="37"/>
      <c r="BI38" s="37"/>
      <c r="BJ38" s="37"/>
    </row>
    <row r="39" spans="1:62" x14ac:dyDescent="0.3">
      <c r="A39" s="37"/>
      <c r="B39" s="37"/>
      <c r="C39" s="37"/>
      <c r="D39" s="37"/>
      <c r="E39" s="37"/>
      <c r="F39" s="37"/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  <c r="AA39" s="37"/>
      <c r="AB39" s="37"/>
      <c r="AC39" s="37"/>
      <c r="AD39" s="37"/>
      <c r="AE39" s="37"/>
      <c r="AF39" s="37"/>
      <c r="AG39" s="37"/>
      <c r="AH39" s="37"/>
      <c r="AI39" s="37"/>
      <c r="AJ39" s="37"/>
      <c r="AK39" s="37"/>
      <c r="AL39" s="37"/>
      <c r="AM39" s="37"/>
      <c r="AN39" s="37"/>
      <c r="AO39" s="37"/>
      <c r="AP39" s="37"/>
      <c r="AQ39" s="37"/>
      <c r="AR39" s="37"/>
      <c r="AS39" s="37"/>
      <c r="AT39" s="37"/>
      <c r="AU39" s="37"/>
      <c r="AV39" s="37"/>
      <c r="AW39" s="37"/>
      <c r="AX39" s="37"/>
      <c r="AY39" s="37"/>
      <c r="AZ39" s="37"/>
      <c r="BA39" s="37"/>
      <c r="BB39" s="37"/>
      <c r="BC39" s="37"/>
      <c r="BD39" s="37"/>
      <c r="BE39" s="37"/>
      <c r="BF39" s="37"/>
      <c r="BG39" s="37"/>
      <c r="BH39" s="37"/>
      <c r="BI39" s="37"/>
      <c r="BJ39" s="37"/>
    </row>
    <row r="40" spans="1:62" x14ac:dyDescent="0.3">
      <c r="A40" s="37"/>
      <c r="B40" s="37"/>
      <c r="C40" s="37"/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  <c r="AA40" s="37"/>
      <c r="AB40" s="37"/>
      <c r="AC40" s="37"/>
      <c r="AD40" s="37"/>
      <c r="AE40" s="37"/>
      <c r="AF40" s="37"/>
      <c r="AG40" s="37"/>
      <c r="AH40" s="37"/>
      <c r="AI40" s="37"/>
      <c r="AJ40" s="37"/>
      <c r="AK40" s="37"/>
      <c r="AL40" s="37"/>
      <c r="AM40" s="37"/>
      <c r="AN40" s="37"/>
      <c r="AO40" s="37"/>
      <c r="AP40" s="37"/>
      <c r="AQ40" s="37"/>
      <c r="AR40" s="37"/>
      <c r="AS40" s="37"/>
      <c r="AT40" s="37"/>
      <c r="AU40" s="37"/>
      <c r="AV40" s="37"/>
      <c r="AW40" s="37"/>
      <c r="AX40" s="37"/>
      <c r="AY40" s="37"/>
      <c r="AZ40" s="37"/>
      <c r="BA40" s="37"/>
      <c r="BB40" s="37"/>
      <c r="BC40" s="37"/>
      <c r="BD40" s="37"/>
      <c r="BE40" s="37"/>
      <c r="BF40" s="37"/>
      <c r="BG40" s="37"/>
      <c r="BH40" s="37"/>
      <c r="BI40" s="37"/>
      <c r="BJ40" s="37"/>
    </row>
    <row r="41" spans="1:62" x14ac:dyDescent="0.3">
      <c r="A41" s="37"/>
      <c r="B41" s="37"/>
      <c r="C41" s="37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  <c r="AA41" s="37"/>
      <c r="AB41" s="37"/>
      <c r="AC41" s="37"/>
      <c r="AD41" s="37"/>
      <c r="AE41" s="37"/>
      <c r="AF41" s="37"/>
      <c r="AG41" s="37"/>
      <c r="AH41" s="37"/>
      <c r="AI41" s="37"/>
      <c r="AJ41" s="37"/>
      <c r="AK41" s="37"/>
      <c r="AL41" s="37"/>
      <c r="AM41" s="37"/>
      <c r="AN41" s="37"/>
      <c r="AO41" s="37"/>
      <c r="AP41" s="37"/>
      <c r="AQ41" s="37"/>
      <c r="AR41" s="37"/>
      <c r="AS41" s="37"/>
      <c r="AT41" s="37"/>
      <c r="AU41" s="37"/>
      <c r="AV41" s="37"/>
      <c r="AW41" s="37"/>
      <c r="AX41" s="37"/>
      <c r="AY41" s="37"/>
      <c r="AZ41" s="37"/>
      <c r="BA41" s="37"/>
      <c r="BB41" s="37"/>
      <c r="BC41" s="37"/>
      <c r="BD41" s="37"/>
      <c r="BE41" s="37"/>
      <c r="BF41" s="37"/>
      <c r="BG41" s="37"/>
      <c r="BH41" s="37"/>
      <c r="BI41" s="37"/>
      <c r="BJ41" s="37"/>
    </row>
    <row r="42" spans="1:62" x14ac:dyDescent="0.3">
      <c r="A42" s="37"/>
      <c r="B42" s="37"/>
      <c r="C42" s="37"/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  <c r="AA42" s="37"/>
      <c r="AB42" s="37"/>
      <c r="AC42" s="37"/>
      <c r="AD42" s="37"/>
      <c r="AE42" s="37"/>
      <c r="AF42" s="37"/>
      <c r="AG42" s="37"/>
      <c r="AH42" s="37"/>
      <c r="AI42" s="37"/>
      <c r="AJ42" s="37"/>
      <c r="AK42" s="37"/>
      <c r="AL42" s="37"/>
      <c r="AM42" s="37"/>
      <c r="AN42" s="37"/>
      <c r="AO42" s="37"/>
      <c r="AP42" s="37"/>
      <c r="AQ42" s="37"/>
      <c r="AR42" s="37"/>
      <c r="AS42" s="37"/>
      <c r="AT42" s="37"/>
      <c r="AU42" s="37"/>
      <c r="AV42" s="37"/>
      <c r="AW42" s="37"/>
      <c r="AX42" s="37"/>
      <c r="AY42" s="37"/>
      <c r="AZ42" s="37"/>
      <c r="BA42" s="37"/>
      <c r="BB42" s="37"/>
      <c r="BC42" s="37"/>
      <c r="BD42" s="37"/>
      <c r="BE42" s="37"/>
      <c r="BF42" s="37"/>
      <c r="BG42" s="37"/>
      <c r="BH42" s="37"/>
      <c r="BI42" s="37"/>
      <c r="BJ42" s="37"/>
    </row>
    <row r="43" spans="1:62" x14ac:dyDescent="0.3">
      <c r="A43" s="37"/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  <c r="AA43" s="37"/>
      <c r="AB43" s="37"/>
      <c r="AC43" s="37"/>
      <c r="AD43" s="37"/>
      <c r="AE43" s="37"/>
      <c r="AF43" s="37"/>
      <c r="AG43" s="37"/>
      <c r="AH43" s="37"/>
      <c r="AI43" s="37"/>
      <c r="AJ43" s="37"/>
      <c r="AK43" s="37"/>
      <c r="AL43" s="37"/>
      <c r="AM43" s="37"/>
      <c r="AN43" s="37"/>
      <c r="AO43" s="37"/>
      <c r="AP43" s="37"/>
      <c r="AQ43" s="37"/>
      <c r="AR43" s="37"/>
      <c r="AS43" s="37"/>
      <c r="AT43" s="37"/>
      <c r="AU43" s="37"/>
      <c r="AV43" s="37"/>
      <c r="AW43" s="37"/>
      <c r="AX43" s="37"/>
      <c r="AY43" s="37"/>
      <c r="AZ43" s="37"/>
      <c r="BA43" s="37"/>
      <c r="BB43" s="37"/>
      <c r="BC43" s="37"/>
      <c r="BD43" s="37"/>
      <c r="BE43" s="37"/>
      <c r="BF43" s="37"/>
      <c r="BG43" s="37"/>
      <c r="BH43" s="37"/>
      <c r="BI43" s="37"/>
      <c r="BJ43" s="37"/>
    </row>
    <row r="44" spans="1:62" x14ac:dyDescent="0.3">
      <c r="A44" s="37"/>
      <c r="B44" s="37"/>
      <c r="C44" s="37"/>
      <c r="D44" s="37"/>
      <c r="E44" s="37"/>
      <c r="F44" s="37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  <c r="AA44" s="37"/>
      <c r="AB44" s="37"/>
      <c r="AC44" s="37"/>
      <c r="AD44" s="37"/>
      <c r="AE44" s="37"/>
      <c r="AF44" s="37"/>
      <c r="AG44" s="37"/>
      <c r="AH44" s="37"/>
      <c r="AI44" s="37"/>
      <c r="AJ44" s="37"/>
      <c r="AK44" s="37"/>
      <c r="AL44" s="37"/>
      <c r="AM44" s="37"/>
      <c r="AN44" s="37"/>
      <c r="AO44" s="37"/>
      <c r="AP44" s="37"/>
      <c r="AQ44" s="37"/>
      <c r="AR44" s="37"/>
      <c r="AS44" s="37"/>
      <c r="AT44" s="37"/>
      <c r="AU44" s="37"/>
      <c r="AV44" s="37"/>
      <c r="AW44" s="37"/>
      <c r="AX44" s="37"/>
      <c r="AY44" s="37"/>
      <c r="AZ44" s="37"/>
      <c r="BA44" s="37"/>
      <c r="BB44" s="37"/>
      <c r="BC44" s="37"/>
      <c r="BD44" s="37"/>
      <c r="BE44" s="37"/>
      <c r="BF44" s="37"/>
      <c r="BG44" s="37"/>
      <c r="BH44" s="37"/>
      <c r="BI44" s="37"/>
      <c r="BJ44" s="37"/>
    </row>
    <row r="45" spans="1:62" x14ac:dyDescent="0.3">
      <c r="A45" s="37"/>
      <c r="B45" s="37"/>
      <c r="C45" s="37"/>
      <c r="E45" s="37"/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  <c r="AA45" s="37"/>
      <c r="AB45" s="37"/>
      <c r="AC45" s="37"/>
      <c r="AD45" s="37"/>
      <c r="AE45" s="37"/>
      <c r="AF45" s="37"/>
      <c r="AG45" s="37"/>
      <c r="AH45" s="37"/>
      <c r="AI45" s="37"/>
      <c r="AJ45" s="37"/>
      <c r="AK45" s="37"/>
      <c r="AL45" s="37"/>
      <c r="AM45" s="37"/>
      <c r="AN45" s="37"/>
      <c r="AO45" s="37"/>
      <c r="AP45" s="37"/>
      <c r="AQ45" s="37"/>
      <c r="AR45" s="37"/>
      <c r="AS45" s="37"/>
      <c r="AT45" s="37"/>
      <c r="AU45" s="37"/>
      <c r="AV45" s="37"/>
      <c r="AW45" s="37"/>
      <c r="AX45" s="37"/>
      <c r="AY45" s="37"/>
      <c r="AZ45" s="37"/>
      <c r="BA45" s="37"/>
      <c r="BB45" s="37"/>
      <c r="BC45" s="37"/>
      <c r="BD45" s="37"/>
      <c r="BE45" s="37"/>
      <c r="BF45" s="37"/>
      <c r="BG45" s="37"/>
      <c r="BH45" s="37"/>
      <c r="BI45" s="37"/>
      <c r="BJ45" s="37"/>
    </row>
    <row r="46" spans="1:62" x14ac:dyDescent="0.3">
      <c r="A46" s="37"/>
      <c r="B46" s="37"/>
      <c r="C46" s="37"/>
      <c r="D46" s="37"/>
      <c r="E46" s="37"/>
      <c r="F46" s="37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  <c r="AA46" s="37"/>
      <c r="AB46" s="37"/>
      <c r="AC46" s="37"/>
      <c r="AD46" s="37"/>
      <c r="AE46" s="37"/>
      <c r="AF46" s="37"/>
      <c r="AG46" s="37"/>
      <c r="AH46" s="37"/>
      <c r="AI46" s="37"/>
      <c r="AJ46" s="37"/>
      <c r="AK46" s="37"/>
      <c r="AL46" s="37"/>
      <c r="AM46" s="37"/>
      <c r="AN46" s="37"/>
      <c r="AO46" s="37"/>
      <c r="AP46" s="37"/>
      <c r="AQ46" s="37"/>
      <c r="AR46" s="37"/>
      <c r="AS46" s="37"/>
      <c r="AT46" s="37"/>
      <c r="AU46" s="37"/>
      <c r="AV46" s="37"/>
      <c r="AW46" s="37"/>
      <c r="AX46" s="37"/>
      <c r="AY46" s="37"/>
      <c r="AZ46" s="37"/>
      <c r="BA46" s="37"/>
      <c r="BB46" s="37"/>
      <c r="BC46" s="37"/>
      <c r="BD46" s="37"/>
      <c r="BE46" s="37"/>
      <c r="BF46" s="37"/>
      <c r="BG46" s="37"/>
      <c r="BH46" s="37"/>
      <c r="BI46" s="37"/>
      <c r="BJ46" s="37"/>
    </row>
    <row r="47" spans="1:62" x14ac:dyDescent="0.3">
      <c r="A47" s="37"/>
      <c r="B47" s="37"/>
      <c r="C47" s="37"/>
      <c r="D47" s="37"/>
      <c r="E47" s="37"/>
      <c r="F47" s="37"/>
      <c r="G47" s="37"/>
      <c r="H47" s="37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  <c r="AA47" s="37"/>
      <c r="AB47" s="37"/>
      <c r="AC47" s="37"/>
      <c r="AD47" s="37"/>
      <c r="AE47" s="37"/>
      <c r="AF47" s="37"/>
      <c r="AG47" s="37"/>
      <c r="AH47" s="37"/>
      <c r="AI47" s="37"/>
      <c r="AJ47" s="37"/>
      <c r="AK47" s="37"/>
      <c r="AL47" s="37"/>
      <c r="AM47" s="37"/>
      <c r="AN47" s="37"/>
      <c r="AO47" s="37"/>
      <c r="AP47" s="37"/>
      <c r="AQ47" s="37"/>
      <c r="AR47" s="37"/>
      <c r="AS47" s="37"/>
      <c r="AT47" s="37"/>
      <c r="AU47" s="37"/>
      <c r="AV47" s="37"/>
      <c r="AW47" s="37"/>
      <c r="AX47" s="37"/>
      <c r="AY47" s="37"/>
      <c r="AZ47" s="37"/>
      <c r="BA47" s="37"/>
      <c r="BB47" s="37"/>
      <c r="BC47" s="37"/>
      <c r="BD47" s="37"/>
      <c r="BE47" s="37"/>
      <c r="BF47" s="37"/>
      <c r="BG47" s="37"/>
      <c r="BH47" s="37"/>
      <c r="BI47" s="37"/>
      <c r="BJ47" s="37"/>
    </row>
    <row r="48" spans="1:62" x14ac:dyDescent="0.3">
      <c r="A48" s="37"/>
      <c r="B48" s="37"/>
      <c r="C48" s="37"/>
      <c r="D48" s="37"/>
      <c r="E48" s="37"/>
      <c r="F48" s="37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  <c r="AA48" s="37"/>
      <c r="AB48" s="37"/>
      <c r="AC48" s="37"/>
      <c r="AD48" s="37"/>
      <c r="AE48" s="37"/>
      <c r="AF48" s="37"/>
      <c r="AG48" s="37"/>
      <c r="AH48" s="37"/>
      <c r="AI48" s="37"/>
      <c r="AJ48" s="37"/>
      <c r="AK48" s="37"/>
      <c r="AL48" s="37"/>
      <c r="AM48" s="37"/>
      <c r="AN48" s="37"/>
      <c r="AO48" s="37"/>
      <c r="AP48" s="37"/>
      <c r="AQ48" s="37"/>
      <c r="AR48" s="37"/>
      <c r="AS48" s="37"/>
      <c r="AT48" s="37"/>
      <c r="AU48" s="37"/>
      <c r="AV48" s="37"/>
      <c r="AW48" s="37"/>
      <c r="AX48" s="37"/>
      <c r="AY48" s="37"/>
      <c r="AZ48" s="37"/>
      <c r="BA48" s="37"/>
      <c r="BB48" s="37"/>
      <c r="BC48" s="37"/>
      <c r="BD48" s="37"/>
      <c r="BE48" s="37"/>
      <c r="BF48" s="37"/>
      <c r="BG48" s="37"/>
      <c r="BH48" s="37"/>
      <c r="BI48" s="37"/>
      <c r="BJ48" s="37"/>
    </row>
    <row r="49" spans="1:4" x14ac:dyDescent="0.3">
      <c r="A49" s="37"/>
      <c r="B49" s="37"/>
      <c r="C49" s="37"/>
      <c r="D49" s="37"/>
    </row>
  </sheetData>
  <mergeCells count="1">
    <mergeCell ref="F5:H5"/>
  </mergeCells>
  <conditionalFormatting sqref="J7:AM26">
    <cfRule type="containsText" dxfId="167" priority="1" operator="containsText" text="P">
      <formula>NOT(ISERROR(SEARCH("P",J7)))</formula>
    </cfRule>
    <cfRule type="containsText" dxfId="166" priority="2" operator="containsText" text="L">
      <formula>NOT(ISERROR(SEARCH("L",J7)))</formula>
    </cfRule>
    <cfRule type="containsText" dxfId="165" priority="3" operator="containsText" text="A">
      <formula>NOT(ISERROR(SEARCH("A",J7)))</formula>
    </cfRule>
    <cfRule type="containsText" dxfId="164" priority="4" operator="containsText" text="WO">
      <formula>NOT(ISERROR(SEARCH("WO",J7)))</formula>
    </cfRule>
    <cfRule type="containsText" dxfId="163" priority="5" operator="containsText" text="WO">
      <formula>NOT(ISERROR(SEARCH("WO",J7)))</formula>
    </cfRule>
  </conditionalFormatting>
  <dataValidations count="2">
    <dataValidation type="list" allowBlank="1" showInputMessage="1" showErrorMessage="1" sqref="K7:P26 R7:W26 Y7:AD26 AF7:AK26 AM7:AM26">
      <formula1>"P,A,L"</formula1>
    </dataValidation>
    <dataValidation type="list" allowBlank="1" showInputMessage="1" showErrorMessage="1" sqref="H4">
      <formula1>#REF!</formula1>
    </dataValidation>
  </dataValidations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JUN!AS7:AV7</xm:f>
              <xm:sqref>BC7</xm:sqref>
            </x14:sparkline>
            <x14:sparkline>
              <xm:f>JUN!AS8:AV8</xm:f>
              <xm:sqref>BC8</xm:sqref>
            </x14:sparkline>
            <x14:sparkline>
              <xm:f>JUN!AS9:AV9</xm:f>
              <xm:sqref>BC9</xm:sqref>
            </x14:sparkline>
            <x14:sparkline>
              <xm:f>JUN!AS10:AV10</xm:f>
              <xm:sqref>BC10</xm:sqref>
            </x14:sparkline>
            <x14:sparkline>
              <xm:f>JUN!AS11:AV11</xm:f>
              <xm:sqref>BC11</xm:sqref>
            </x14:sparkline>
            <x14:sparkline>
              <xm:f>JUN!AS12:AV12</xm:f>
              <xm:sqref>BC12</xm:sqref>
            </x14:sparkline>
            <x14:sparkline>
              <xm:f>JUN!AS13:AV13</xm:f>
              <xm:sqref>BC13</xm:sqref>
            </x14:sparkline>
            <x14:sparkline>
              <xm:f>JUN!AS14:AV14</xm:f>
              <xm:sqref>BC14</xm:sqref>
            </x14:sparkline>
            <x14:sparkline>
              <xm:f>JUN!AS15:AV15</xm:f>
              <xm:sqref>BC15</xm:sqref>
            </x14:sparkline>
            <x14:sparkline>
              <xm:f>JUN!AS16:AV16</xm:f>
              <xm:sqref>BC16</xm:sqref>
            </x14:sparkline>
            <x14:sparkline>
              <xm:f>JUN!AS17:AV17</xm:f>
              <xm:sqref>BC17</xm:sqref>
            </x14:sparkline>
            <x14:sparkline>
              <xm:f>JUN!AS18:AV18</xm:f>
              <xm:sqref>BC18</xm:sqref>
            </x14:sparkline>
            <x14:sparkline>
              <xm:f>JUN!AS19:AV19</xm:f>
              <xm:sqref>BC19</xm:sqref>
            </x14:sparkline>
            <x14:sparkline>
              <xm:f>JUN!AS20:AV20</xm:f>
              <xm:sqref>BC20</xm:sqref>
            </x14:sparkline>
            <x14:sparkline>
              <xm:f>JUN!AS21:AV21</xm:f>
              <xm:sqref>BC21</xm:sqref>
            </x14:sparkline>
            <x14:sparkline>
              <xm:f>JUN!AS22:AV22</xm:f>
              <xm:sqref>BC22</xm:sqref>
            </x14:sparkline>
            <x14:sparkline>
              <xm:f>JUN!AS23:AV23</xm:f>
              <xm:sqref>BC23</xm:sqref>
            </x14:sparkline>
            <x14:sparkline>
              <xm:f>JUN!AS24:AV24</xm:f>
              <xm:sqref>BC24</xm:sqref>
            </x14:sparkline>
            <x14:sparkline>
              <xm:f>JUN!AS25:AV25</xm:f>
              <xm:sqref>BC25</xm:sqref>
            </x14:sparkline>
            <x14:sparkline>
              <xm:f>JUN!AS26:AV26</xm:f>
              <xm:sqref>BC26</xm:sqref>
            </x14:sparkline>
          </x14:sparklines>
        </x14:sparklineGroup>
      </x14:sparklineGroup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49"/>
  <sheetViews>
    <sheetView zoomScaleNormal="100" workbookViewId="0"/>
  </sheetViews>
  <sheetFormatPr defaultColWidth="9.109375" defaultRowHeight="14.4" x14ac:dyDescent="0.3"/>
  <cols>
    <col min="1" max="6" width="9.109375" style="7"/>
    <col min="7" max="7" width="11.6640625" style="7" bestFit="1" customWidth="1"/>
    <col min="8" max="8" width="20.109375" style="7" bestFit="1" customWidth="1"/>
    <col min="9" max="9" width="9.109375" style="7"/>
    <col min="10" max="10" width="5.33203125" style="7" bestFit="1" customWidth="1"/>
    <col min="11" max="11" width="6" style="7" customWidth="1"/>
    <col min="12" max="12" width="5" style="7" bestFit="1" customWidth="1"/>
    <col min="13" max="14" width="4.33203125" style="7" bestFit="1" customWidth="1"/>
    <col min="15" max="15" width="6.5546875" style="7" customWidth="1"/>
    <col min="16" max="16" width="4.33203125" style="7" bestFit="1" customWidth="1"/>
    <col min="17" max="17" width="5.109375" style="7" bestFit="1" customWidth="1"/>
    <col min="18" max="18" width="4.33203125" style="7" bestFit="1" customWidth="1"/>
    <col min="19" max="19" width="5" style="7" bestFit="1" customWidth="1"/>
    <col min="20" max="20" width="4.33203125" style="7" bestFit="1" customWidth="1"/>
    <col min="21" max="21" width="5.109375" style="7" bestFit="1" customWidth="1"/>
    <col min="22" max="22" width="5" style="7" bestFit="1" customWidth="1"/>
    <col min="23" max="23" width="4.33203125" style="7" bestFit="1" customWidth="1"/>
    <col min="24" max="24" width="5.109375" style="7" bestFit="1" customWidth="1"/>
    <col min="25" max="25" width="4.33203125" style="7" bestFit="1" customWidth="1"/>
    <col min="26" max="26" width="5" style="7" bestFit="1" customWidth="1"/>
    <col min="27" max="27" width="4.33203125" style="7" bestFit="1" customWidth="1"/>
    <col min="28" max="28" width="5.109375" style="7" bestFit="1" customWidth="1"/>
    <col min="29" max="29" width="5" style="7" bestFit="1" customWidth="1"/>
    <col min="30" max="30" width="4.33203125" style="7" bestFit="1" customWidth="1"/>
    <col min="31" max="31" width="5.109375" style="7" bestFit="1" customWidth="1"/>
    <col min="32" max="32" width="4.33203125" style="7" bestFit="1" customWidth="1"/>
    <col min="33" max="33" width="5" style="7" bestFit="1" customWidth="1"/>
    <col min="34" max="34" width="4.33203125" style="7" bestFit="1" customWidth="1"/>
    <col min="35" max="35" width="5.109375" style="7" bestFit="1" customWidth="1"/>
    <col min="36" max="37" width="4.33203125" style="7" bestFit="1" customWidth="1"/>
    <col min="38" max="38" width="5.109375" style="7" bestFit="1" customWidth="1"/>
    <col min="39" max="39" width="4.33203125" style="7" bestFit="1" customWidth="1"/>
    <col min="40" max="40" width="5.33203125" style="7" bestFit="1" customWidth="1"/>
    <col min="41" max="41" width="9.109375" style="7"/>
    <col min="42" max="42" width="9.33203125" style="7" bestFit="1" customWidth="1"/>
    <col min="43" max="44" width="14.33203125" style="7" customWidth="1"/>
    <col min="45" max="45" width="18" style="7" customWidth="1"/>
    <col min="46" max="46" width="10.5546875" style="7" customWidth="1"/>
    <col min="47" max="47" width="9.88671875" style="7" customWidth="1"/>
    <col min="48" max="48" width="9.33203125" style="7" bestFit="1" customWidth="1"/>
    <col min="49" max="49" width="12.109375" style="7" customWidth="1"/>
    <col min="50" max="50" width="9.33203125" style="7" bestFit="1" customWidth="1"/>
    <col min="51" max="51" width="11.88671875" style="7" customWidth="1"/>
    <col min="52" max="52" width="14.33203125" style="7" bestFit="1" customWidth="1"/>
    <col min="53" max="53" width="15.44140625" style="7" customWidth="1"/>
    <col min="54" max="54" width="12.88671875" style="7" customWidth="1"/>
    <col min="55" max="55" width="14.5546875" style="7" bestFit="1" customWidth="1"/>
    <col min="56" max="56" width="13.5546875" style="7" customWidth="1"/>
    <col min="57" max="16384" width="9.109375" style="7"/>
  </cols>
  <sheetData>
    <row r="1" spans="4:68" x14ac:dyDescent="0.3">
      <c r="AO1" s="37"/>
      <c r="BE1" s="37"/>
      <c r="BF1" s="37"/>
      <c r="BG1" s="37"/>
      <c r="BH1" s="37"/>
      <c r="BI1" s="37"/>
      <c r="BJ1" s="37"/>
      <c r="BK1" s="37"/>
    </row>
    <row r="2" spans="4:68" x14ac:dyDescent="0.3">
      <c r="AO2" s="37"/>
      <c r="BE2" s="37"/>
      <c r="BF2" s="37"/>
      <c r="BG2" s="37"/>
      <c r="BH2" s="37"/>
      <c r="BI2" s="37"/>
      <c r="BJ2" s="37"/>
      <c r="BK2" s="37"/>
    </row>
    <row r="3" spans="4:68" x14ac:dyDescent="0.3"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  <c r="AA3" s="37"/>
      <c r="AB3" s="37"/>
      <c r="AC3" s="37"/>
      <c r="AD3" s="37"/>
      <c r="AE3" s="37"/>
      <c r="AF3" s="37"/>
      <c r="AG3" s="37"/>
      <c r="AH3" s="37"/>
      <c r="AI3" s="37"/>
      <c r="AJ3" s="37"/>
      <c r="AK3" s="37"/>
      <c r="AL3" s="37"/>
      <c r="AM3" s="37"/>
      <c r="AN3" s="37"/>
      <c r="AO3" s="37"/>
      <c r="AP3" s="37"/>
      <c r="AQ3" s="37"/>
      <c r="AR3" s="37"/>
      <c r="AS3" s="37"/>
      <c r="AT3" s="37"/>
      <c r="AU3" s="37"/>
      <c r="AV3" s="37"/>
      <c r="AW3" s="37"/>
      <c r="AX3" s="37"/>
      <c r="AY3" s="37"/>
      <c r="AZ3" s="37"/>
      <c r="BA3" s="37"/>
      <c r="BB3" s="37"/>
      <c r="BC3" s="37"/>
      <c r="BD3" s="37"/>
      <c r="BE3" s="37"/>
      <c r="BF3" s="37"/>
      <c r="BG3" s="37"/>
      <c r="BH3" s="37"/>
      <c r="BI3" s="37"/>
      <c r="BJ3" s="37"/>
      <c r="BK3" s="37"/>
      <c r="BL3" s="37"/>
      <c r="BM3" s="37"/>
      <c r="BN3" s="37"/>
      <c r="BO3" s="37"/>
      <c r="BP3" s="37"/>
    </row>
    <row r="4" spans="4:68" ht="15" thickBot="1" x14ac:dyDescent="0.35">
      <c r="D4" s="37"/>
      <c r="E4" s="41"/>
      <c r="F4" s="41"/>
      <c r="G4" s="42" t="s">
        <v>26</v>
      </c>
      <c r="H4" s="43">
        <v>45839</v>
      </c>
      <c r="I4" s="42"/>
      <c r="J4" s="42" t="s">
        <v>27</v>
      </c>
      <c r="K4" s="43">
        <f>EOMONTH(H4,0)</f>
        <v>45869</v>
      </c>
      <c r="L4" s="42"/>
      <c r="M4" s="42"/>
      <c r="N4" s="42">
        <f>(DATEDIF($H$4,$K$4,"D"))+1</f>
        <v>31</v>
      </c>
      <c r="O4" s="44" t="str">
        <f>TEXT(H4,"MMMM")</f>
        <v>July</v>
      </c>
      <c r="P4" s="42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41"/>
      <c r="AC4" s="41"/>
      <c r="AD4" s="41"/>
      <c r="AE4" s="41"/>
      <c r="AF4" s="41"/>
      <c r="AG4" s="41"/>
      <c r="AH4" s="41"/>
      <c r="AI4" s="41"/>
      <c r="AJ4" s="41"/>
      <c r="AK4" s="41"/>
      <c r="AL4" s="41"/>
      <c r="AM4" s="41"/>
      <c r="AN4" s="41"/>
      <c r="AO4" s="37"/>
      <c r="AP4" s="37"/>
      <c r="AQ4" s="37"/>
      <c r="AR4" s="37"/>
      <c r="AS4" s="37"/>
      <c r="AT4" s="37"/>
      <c r="AU4" s="37"/>
      <c r="AV4" s="38"/>
      <c r="AW4" s="37"/>
      <c r="AX4" s="37"/>
      <c r="AY4" s="37"/>
      <c r="AZ4" s="37"/>
      <c r="BA4" s="37"/>
      <c r="BB4" s="37"/>
      <c r="BC4" s="37"/>
      <c r="BD4" s="37"/>
      <c r="BE4" s="37"/>
      <c r="BF4" s="37"/>
      <c r="BG4" s="37"/>
      <c r="BH4" s="37"/>
      <c r="BI4" s="37"/>
      <c r="BJ4" s="37"/>
      <c r="BK4" s="37"/>
      <c r="BL4" s="37"/>
      <c r="BM4" s="37"/>
      <c r="BN4" s="37"/>
      <c r="BO4" s="37"/>
      <c r="BP4" s="37"/>
    </row>
    <row r="5" spans="4:68" ht="15" thickBot="1" x14ac:dyDescent="0.35">
      <c r="D5" s="37"/>
      <c r="E5" s="41"/>
      <c r="F5" s="88" t="s">
        <v>40</v>
      </c>
      <c r="G5" s="89"/>
      <c r="H5" s="89"/>
      <c r="I5" s="8" t="s">
        <v>29</v>
      </c>
      <c r="J5" s="8" t="str">
        <f>TEXT(J6,"DDD")</f>
        <v>Tue</v>
      </c>
      <c r="K5" s="8" t="str">
        <f t="shared" ref="K5:AN5" si="0">TEXT(K6,"DDD")</f>
        <v>Wed</v>
      </c>
      <c r="L5" s="8" t="str">
        <f t="shared" si="0"/>
        <v>Thu</v>
      </c>
      <c r="M5" s="8" t="str">
        <f t="shared" si="0"/>
        <v>Fri</v>
      </c>
      <c r="N5" s="8" t="str">
        <f t="shared" si="0"/>
        <v>Sat</v>
      </c>
      <c r="O5" s="8" t="str">
        <f t="shared" si="0"/>
        <v>Sun</v>
      </c>
      <c r="P5" s="8" t="str">
        <f t="shared" si="0"/>
        <v>Mon</v>
      </c>
      <c r="Q5" s="8" t="str">
        <f t="shared" si="0"/>
        <v>Tue</v>
      </c>
      <c r="R5" s="8" t="str">
        <f t="shared" si="0"/>
        <v>Wed</v>
      </c>
      <c r="S5" s="8" t="str">
        <f t="shared" si="0"/>
        <v>Thu</v>
      </c>
      <c r="T5" s="8" t="str">
        <f t="shared" si="0"/>
        <v>Fri</v>
      </c>
      <c r="U5" s="8" t="str">
        <f t="shared" si="0"/>
        <v>Sat</v>
      </c>
      <c r="V5" s="8" t="str">
        <f t="shared" si="0"/>
        <v>Sun</v>
      </c>
      <c r="W5" s="8" t="str">
        <f t="shared" si="0"/>
        <v>Mon</v>
      </c>
      <c r="X5" s="8" t="str">
        <f t="shared" si="0"/>
        <v>Tue</v>
      </c>
      <c r="Y5" s="8" t="str">
        <f t="shared" si="0"/>
        <v>Wed</v>
      </c>
      <c r="Z5" s="8" t="str">
        <f t="shared" si="0"/>
        <v>Thu</v>
      </c>
      <c r="AA5" s="8" t="str">
        <f t="shared" si="0"/>
        <v>Fri</v>
      </c>
      <c r="AB5" s="8" t="str">
        <f t="shared" si="0"/>
        <v>Sat</v>
      </c>
      <c r="AC5" s="8" t="str">
        <f t="shared" si="0"/>
        <v>Sun</v>
      </c>
      <c r="AD5" s="8" t="str">
        <f t="shared" si="0"/>
        <v>Mon</v>
      </c>
      <c r="AE5" s="8" t="str">
        <f t="shared" si="0"/>
        <v>Tue</v>
      </c>
      <c r="AF5" s="8" t="str">
        <f t="shared" si="0"/>
        <v>Wed</v>
      </c>
      <c r="AG5" s="8" t="str">
        <f t="shared" si="0"/>
        <v>Thu</v>
      </c>
      <c r="AH5" s="8" t="str">
        <f t="shared" si="0"/>
        <v>Fri</v>
      </c>
      <c r="AI5" s="8" t="str">
        <f t="shared" si="0"/>
        <v>Sat</v>
      </c>
      <c r="AJ5" s="8" t="str">
        <f t="shared" si="0"/>
        <v>Sun</v>
      </c>
      <c r="AK5" s="8" t="str">
        <f t="shared" si="0"/>
        <v>Mon</v>
      </c>
      <c r="AL5" s="8" t="str">
        <f t="shared" si="0"/>
        <v>Tue</v>
      </c>
      <c r="AM5" s="8" t="str">
        <f t="shared" si="0"/>
        <v>Wed</v>
      </c>
      <c r="AN5" s="9" t="str">
        <f t="shared" si="0"/>
        <v>Thu</v>
      </c>
      <c r="AO5" s="39"/>
      <c r="AP5" s="39"/>
      <c r="AQ5" s="39"/>
      <c r="AR5" s="39"/>
      <c r="AS5" s="39"/>
      <c r="AT5" s="39"/>
      <c r="AU5" s="39"/>
      <c r="AV5" s="39"/>
      <c r="AW5" s="39"/>
      <c r="AX5" s="39"/>
      <c r="AY5" s="39"/>
      <c r="AZ5" s="39"/>
      <c r="BA5" s="39"/>
      <c r="BB5" s="39"/>
      <c r="BC5" s="39"/>
      <c r="BD5" s="39"/>
      <c r="BE5" s="39"/>
      <c r="BF5" s="37"/>
      <c r="BG5" s="37"/>
      <c r="BH5" s="37"/>
      <c r="BI5" s="37"/>
      <c r="BJ5" s="37"/>
      <c r="BK5" s="37"/>
    </row>
    <row r="6" spans="4:68" ht="18.600000000000001" thickBot="1" x14ac:dyDescent="0.35">
      <c r="D6" s="37"/>
      <c r="E6" s="41"/>
      <c r="F6" s="10" t="s">
        <v>24</v>
      </c>
      <c r="G6" s="11" t="s">
        <v>23</v>
      </c>
      <c r="H6" s="12" t="s">
        <v>25</v>
      </c>
      <c r="I6" s="13" t="s">
        <v>28</v>
      </c>
      <c r="J6" s="14">
        <f>H4</f>
        <v>45839</v>
      </c>
      <c r="K6" s="14">
        <f>IF(J6&lt;$K$4,J6+1,"")</f>
        <v>45840</v>
      </c>
      <c r="L6" s="14">
        <f t="shared" ref="L6:AL6" si="1">IF(K6&lt;$K$4,K6+1,"")</f>
        <v>45841</v>
      </c>
      <c r="M6" s="14">
        <f t="shared" si="1"/>
        <v>45842</v>
      </c>
      <c r="N6" s="14">
        <f t="shared" si="1"/>
        <v>45843</v>
      </c>
      <c r="O6" s="14">
        <f t="shared" si="1"/>
        <v>45844</v>
      </c>
      <c r="P6" s="14">
        <f t="shared" si="1"/>
        <v>45845</v>
      </c>
      <c r="Q6" s="14">
        <f t="shared" si="1"/>
        <v>45846</v>
      </c>
      <c r="R6" s="14">
        <f t="shared" si="1"/>
        <v>45847</v>
      </c>
      <c r="S6" s="14">
        <f t="shared" si="1"/>
        <v>45848</v>
      </c>
      <c r="T6" s="14">
        <f t="shared" si="1"/>
        <v>45849</v>
      </c>
      <c r="U6" s="14">
        <f t="shared" si="1"/>
        <v>45850</v>
      </c>
      <c r="V6" s="14">
        <f t="shared" si="1"/>
        <v>45851</v>
      </c>
      <c r="W6" s="14">
        <f t="shared" si="1"/>
        <v>45852</v>
      </c>
      <c r="X6" s="14">
        <f t="shared" si="1"/>
        <v>45853</v>
      </c>
      <c r="Y6" s="14">
        <f t="shared" si="1"/>
        <v>45854</v>
      </c>
      <c r="Z6" s="14">
        <f t="shared" si="1"/>
        <v>45855</v>
      </c>
      <c r="AA6" s="14">
        <f t="shared" si="1"/>
        <v>45856</v>
      </c>
      <c r="AB6" s="14">
        <f t="shared" si="1"/>
        <v>45857</v>
      </c>
      <c r="AC6" s="14">
        <f t="shared" si="1"/>
        <v>45858</v>
      </c>
      <c r="AD6" s="14">
        <f t="shared" si="1"/>
        <v>45859</v>
      </c>
      <c r="AE6" s="14">
        <f t="shared" si="1"/>
        <v>45860</v>
      </c>
      <c r="AF6" s="14">
        <f t="shared" si="1"/>
        <v>45861</v>
      </c>
      <c r="AG6" s="14">
        <f t="shared" si="1"/>
        <v>45862</v>
      </c>
      <c r="AH6" s="14">
        <f t="shared" si="1"/>
        <v>45863</v>
      </c>
      <c r="AI6" s="14">
        <f t="shared" si="1"/>
        <v>45864</v>
      </c>
      <c r="AJ6" s="14">
        <f t="shared" si="1"/>
        <v>45865</v>
      </c>
      <c r="AK6" s="14">
        <f t="shared" si="1"/>
        <v>45866</v>
      </c>
      <c r="AL6" s="14">
        <f t="shared" si="1"/>
        <v>45867</v>
      </c>
      <c r="AM6" s="14">
        <f t="shared" ref="AM6:AN6" si="2">IF(AL6&lt;=$K$4,AL6+1,"")</f>
        <v>45868</v>
      </c>
      <c r="AN6" s="15">
        <f t="shared" si="2"/>
        <v>45869</v>
      </c>
      <c r="AO6" s="40"/>
      <c r="AP6" s="34" t="s">
        <v>24</v>
      </c>
      <c r="AQ6" s="35" t="s">
        <v>23</v>
      </c>
      <c r="AR6" s="35" t="s">
        <v>41</v>
      </c>
      <c r="AS6" s="35" t="s">
        <v>25</v>
      </c>
      <c r="AT6" s="35" t="s">
        <v>30</v>
      </c>
      <c r="AU6" s="35" t="s">
        <v>31</v>
      </c>
      <c r="AV6" s="35" t="s">
        <v>32</v>
      </c>
      <c r="AW6" s="35" t="s">
        <v>38</v>
      </c>
      <c r="AX6" s="35" t="s">
        <v>29</v>
      </c>
      <c r="AY6" s="35" t="s">
        <v>33</v>
      </c>
      <c r="AZ6" s="35" t="s">
        <v>34</v>
      </c>
      <c r="BA6" s="35" t="s">
        <v>35</v>
      </c>
      <c r="BB6" s="35" t="s">
        <v>36</v>
      </c>
      <c r="BC6" s="35" t="s">
        <v>37</v>
      </c>
      <c r="BD6" s="36" t="s">
        <v>39</v>
      </c>
      <c r="BE6" s="39"/>
      <c r="BF6" s="37"/>
      <c r="BG6" s="37"/>
      <c r="BH6" s="37"/>
      <c r="BI6" s="37"/>
      <c r="BJ6" s="37"/>
      <c r="BK6" s="37"/>
    </row>
    <row r="7" spans="4:68" ht="15.6" x14ac:dyDescent="0.3">
      <c r="D7" s="37"/>
      <c r="E7" s="41"/>
      <c r="F7" s="16">
        <v>1</v>
      </c>
      <c r="G7" s="17">
        <v>1001</v>
      </c>
      <c r="H7" s="18" t="s">
        <v>3</v>
      </c>
      <c r="I7" s="60">
        <f>COUNTIF($J$5:$AN$5,"SUN")</f>
        <v>4</v>
      </c>
      <c r="J7" s="63" t="s">
        <v>42</v>
      </c>
      <c r="K7" s="63" t="s">
        <v>42</v>
      </c>
      <c r="L7" s="63" t="s">
        <v>42</v>
      </c>
      <c r="M7" s="63" t="s">
        <v>42</v>
      </c>
      <c r="N7" s="63" t="s">
        <v>42</v>
      </c>
      <c r="O7" s="19" t="str">
        <f t="shared" ref="O7:AJ15" si="3">IF(O$5="Sun","WO","")</f>
        <v>WO</v>
      </c>
      <c r="P7" s="63" t="s">
        <v>42</v>
      </c>
      <c r="Q7" s="63" t="s">
        <v>42</v>
      </c>
      <c r="R7" s="63" t="s">
        <v>42</v>
      </c>
      <c r="S7" s="63" t="s">
        <v>42</v>
      </c>
      <c r="T7" s="63" t="s">
        <v>42</v>
      </c>
      <c r="U7" s="63" t="s">
        <v>42</v>
      </c>
      <c r="V7" s="19" t="str">
        <f t="shared" si="3"/>
        <v>WO</v>
      </c>
      <c r="W7" s="63" t="s">
        <v>42</v>
      </c>
      <c r="X7" s="63" t="s">
        <v>44</v>
      </c>
      <c r="Y7" s="63" t="s">
        <v>42</v>
      </c>
      <c r="Z7" s="63" t="s">
        <v>42</v>
      </c>
      <c r="AA7" s="63" t="s">
        <v>42</v>
      </c>
      <c r="AB7" s="63" t="s">
        <v>42</v>
      </c>
      <c r="AC7" s="19" t="str">
        <f t="shared" si="3"/>
        <v>WO</v>
      </c>
      <c r="AD7" s="63" t="s">
        <v>42</v>
      </c>
      <c r="AE7" s="63" t="s">
        <v>42</v>
      </c>
      <c r="AF7" s="63" t="s">
        <v>42</v>
      </c>
      <c r="AG7" s="63" t="s">
        <v>44</v>
      </c>
      <c r="AH7" s="63" t="s">
        <v>42</v>
      </c>
      <c r="AI7" s="63" t="s">
        <v>42</v>
      </c>
      <c r="AJ7" s="19" t="str">
        <f t="shared" si="3"/>
        <v>WO</v>
      </c>
      <c r="AK7" s="63" t="s">
        <v>42</v>
      </c>
      <c r="AL7" s="63" t="s">
        <v>42</v>
      </c>
      <c r="AM7" s="63" t="s">
        <v>42</v>
      </c>
      <c r="AN7" s="72" t="s">
        <v>42</v>
      </c>
      <c r="AO7" s="39"/>
      <c r="AP7" s="28">
        <v>1</v>
      </c>
      <c r="AQ7" s="21">
        <v>1001</v>
      </c>
      <c r="AR7" s="33" t="str">
        <f t="shared" ref="AR7:AR26" si="4">$O$4</f>
        <v>July</v>
      </c>
      <c r="AS7" s="21" t="s">
        <v>3</v>
      </c>
      <c r="AT7" s="29">
        <f t="shared" ref="AT7:AT26" si="5">COUNTIF($J7:$AN7,"*P*")</f>
        <v>25</v>
      </c>
      <c r="AU7" s="29">
        <f t="shared" ref="AU7:AU26" si="6">COUNTIF($J7:$AN7,"*A*")</f>
        <v>0</v>
      </c>
      <c r="AV7" s="29">
        <f t="shared" ref="AV7:AV26" si="7">COUNTIF($J7:$AN7,"*L*")</f>
        <v>2</v>
      </c>
      <c r="AW7" s="29">
        <f t="shared" ref="AW7:AW26" si="8">I7</f>
        <v>4</v>
      </c>
      <c r="AX7" s="30">
        <f>$N$4</f>
        <v>31</v>
      </c>
      <c r="AY7" s="29">
        <f>JULReport[[#This Row],[Days]]-JULReport[[#This Row],[Adsent]]</f>
        <v>31</v>
      </c>
      <c r="AZ7" s="31">
        <v>10000</v>
      </c>
      <c r="BA7" s="32">
        <f>JULReport[[#This Row],[Salary]]/JULReport[[#This Row],[Days]]</f>
        <v>322.58064516129031</v>
      </c>
      <c r="BB7" s="31">
        <f>JULReport[[#This Row],[Perday salary]]*JULReport[[#This Row],[Adsent]]</f>
        <v>0</v>
      </c>
      <c r="BC7" s="31">
        <f>JULReport[[#This Row],[Salary]]-JULReport[[#This Row],[Detuction ]]</f>
        <v>10000</v>
      </c>
      <c r="BD7" s="29"/>
      <c r="BE7" s="39"/>
      <c r="BF7" s="37"/>
      <c r="BG7" s="37"/>
      <c r="BH7" s="37"/>
      <c r="BI7" s="37"/>
      <c r="BJ7" s="37"/>
      <c r="BK7" s="37"/>
    </row>
    <row r="8" spans="4:68" ht="15.6" x14ac:dyDescent="0.3">
      <c r="D8" s="37"/>
      <c r="E8" s="41"/>
      <c r="F8" s="20">
        <v>2</v>
      </c>
      <c r="G8" s="21">
        <v>1002</v>
      </c>
      <c r="H8" s="22" t="s">
        <v>4</v>
      </c>
      <c r="I8" s="61">
        <f t="shared" ref="I8:I26" si="9">COUNTIF($J$5:$AN$5,"SUN")</f>
        <v>4</v>
      </c>
      <c r="J8" s="64" t="s">
        <v>42</v>
      </c>
      <c r="K8" s="64" t="s">
        <v>42</v>
      </c>
      <c r="L8" s="64" t="s">
        <v>42</v>
      </c>
      <c r="M8" s="64" t="s">
        <v>42</v>
      </c>
      <c r="N8" s="64" t="s">
        <v>42</v>
      </c>
      <c r="O8" s="23" t="str">
        <f t="shared" si="3"/>
        <v>WO</v>
      </c>
      <c r="P8" s="64" t="s">
        <v>42</v>
      </c>
      <c r="Q8" s="64" t="s">
        <v>42</v>
      </c>
      <c r="R8" s="64" t="s">
        <v>42</v>
      </c>
      <c r="S8" s="64" t="s">
        <v>43</v>
      </c>
      <c r="T8" s="64" t="s">
        <v>42</v>
      </c>
      <c r="U8" s="64" t="s">
        <v>42</v>
      </c>
      <c r="V8" s="23" t="str">
        <f t="shared" si="3"/>
        <v>WO</v>
      </c>
      <c r="W8" s="64" t="s">
        <v>42</v>
      </c>
      <c r="X8" s="64" t="s">
        <v>44</v>
      </c>
      <c r="Y8" s="64" t="s">
        <v>42</v>
      </c>
      <c r="Z8" s="64" t="s">
        <v>42</v>
      </c>
      <c r="AA8" s="64" t="s">
        <v>42</v>
      </c>
      <c r="AB8" s="64" t="s">
        <v>42</v>
      </c>
      <c r="AC8" s="23" t="str">
        <f t="shared" si="3"/>
        <v>WO</v>
      </c>
      <c r="AD8" s="64" t="s">
        <v>42</v>
      </c>
      <c r="AE8" s="64" t="s">
        <v>42</v>
      </c>
      <c r="AF8" s="64" t="s">
        <v>42</v>
      </c>
      <c r="AG8" s="64" t="s">
        <v>44</v>
      </c>
      <c r="AH8" s="64" t="s">
        <v>42</v>
      </c>
      <c r="AI8" s="64" t="s">
        <v>42</v>
      </c>
      <c r="AJ8" s="23" t="str">
        <f t="shared" si="3"/>
        <v>WO</v>
      </c>
      <c r="AK8" s="64" t="s">
        <v>42</v>
      </c>
      <c r="AL8" s="64" t="s">
        <v>42</v>
      </c>
      <c r="AM8" s="64" t="s">
        <v>42</v>
      </c>
      <c r="AN8" s="73" t="s">
        <v>42</v>
      </c>
      <c r="AO8" s="39"/>
      <c r="AP8" s="28">
        <v>2</v>
      </c>
      <c r="AQ8" s="21">
        <v>1002</v>
      </c>
      <c r="AR8" s="33" t="str">
        <f t="shared" si="4"/>
        <v>July</v>
      </c>
      <c r="AS8" s="21" t="s">
        <v>4</v>
      </c>
      <c r="AT8" s="29">
        <f t="shared" si="5"/>
        <v>24</v>
      </c>
      <c r="AU8" s="29">
        <f t="shared" si="6"/>
        <v>1</v>
      </c>
      <c r="AV8" s="29">
        <f t="shared" si="7"/>
        <v>2</v>
      </c>
      <c r="AW8" s="29">
        <f t="shared" si="8"/>
        <v>4</v>
      </c>
      <c r="AX8" s="30">
        <f t="shared" ref="AX8:AX26" si="10">$N$4</f>
        <v>31</v>
      </c>
      <c r="AY8" s="29">
        <f>JULReport[[#This Row],[Days]]-JULReport[[#This Row],[Adsent]]</f>
        <v>30</v>
      </c>
      <c r="AZ8" s="31">
        <v>20000</v>
      </c>
      <c r="BA8" s="32">
        <f>JULReport[[#This Row],[Salary]]/JULReport[[#This Row],[Days]]</f>
        <v>645.16129032258061</v>
      </c>
      <c r="BB8" s="31">
        <f>JULReport[[#This Row],[Perday salary]]*JULReport[[#This Row],[Adsent]]</f>
        <v>645.16129032258061</v>
      </c>
      <c r="BC8" s="31">
        <f>JULReport[[#This Row],[Salary]]-JULReport[[#This Row],[Detuction ]]</f>
        <v>19354.83870967742</v>
      </c>
      <c r="BD8" s="29"/>
      <c r="BE8" s="39"/>
      <c r="BF8" s="37"/>
      <c r="BG8" s="37"/>
      <c r="BH8" s="37"/>
      <c r="BI8" s="37"/>
      <c r="BJ8" s="37"/>
      <c r="BK8" s="37"/>
    </row>
    <row r="9" spans="4:68" ht="15.6" x14ac:dyDescent="0.3">
      <c r="D9" s="37"/>
      <c r="E9" s="41"/>
      <c r="F9" s="20">
        <v>3</v>
      </c>
      <c r="G9" s="21">
        <v>1003</v>
      </c>
      <c r="H9" s="22" t="s">
        <v>5</v>
      </c>
      <c r="I9" s="61">
        <f t="shared" si="9"/>
        <v>4</v>
      </c>
      <c r="J9" s="64" t="s">
        <v>42</v>
      </c>
      <c r="K9" s="64" t="s">
        <v>42</v>
      </c>
      <c r="L9" s="64" t="s">
        <v>42</v>
      </c>
      <c r="M9" s="64" t="s">
        <v>43</v>
      </c>
      <c r="N9" s="64" t="s">
        <v>42</v>
      </c>
      <c r="O9" s="23" t="str">
        <f t="shared" si="3"/>
        <v>WO</v>
      </c>
      <c r="P9" s="64" t="s">
        <v>42</v>
      </c>
      <c r="Q9" s="64" t="s">
        <v>42</v>
      </c>
      <c r="R9" s="64" t="s">
        <v>42</v>
      </c>
      <c r="S9" s="64" t="s">
        <v>42</v>
      </c>
      <c r="T9" s="64" t="s">
        <v>42</v>
      </c>
      <c r="U9" s="64" t="s">
        <v>42</v>
      </c>
      <c r="V9" s="23" t="str">
        <f t="shared" si="3"/>
        <v>WO</v>
      </c>
      <c r="W9" s="64" t="s">
        <v>42</v>
      </c>
      <c r="X9" s="64" t="s">
        <v>44</v>
      </c>
      <c r="Y9" s="64" t="s">
        <v>42</v>
      </c>
      <c r="Z9" s="64" t="s">
        <v>42</v>
      </c>
      <c r="AA9" s="64" t="s">
        <v>42</v>
      </c>
      <c r="AB9" s="64" t="s">
        <v>42</v>
      </c>
      <c r="AC9" s="23" t="str">
        <f t="shared" si="3"/>
        <v>WO</v>
      </c>
      <c r="AD9" s="64" t="s">
        <v>42</v>
      </c>
      <c r="AE9" s="64" t="s">
        <v>42</v>
      </c>
      <c r="AF9" s="64" t="s">
        <v>42</v>
      </c>
      <c r="AG9" s="64" t="s">
        <v>44</v>
      </c>
      <c r="AH9" s="64" t="s">
        <v>42</v>
      </c>
      <c r="AI9" s="64" t="s">
        <v>42</v>
      </c>
      <c r="AJ9" s="23" t="str">
        <f t="shared" si="3"/>
        <v>WO</v>
      </c>
      <c r="AK9" s="64" t="s">
        <v>42</v>
      </c>
      <c r="AL9" s="64" t="s">
        <v>42</v>
      </c>
      <c r="AM9" s="64" t="s">
        <v>42</v>
      </c>
      <c r="AN9" s="73" t="s">
        <v>42</v>
      </c>
      <c r="AO9" s="39"/>
      <c r="AP9" s="28">
        <v>3</v>
      </c>
      <c r="AQ9" s="21">
        <v>1003</v>
      </c>
      <c r="AR9" s="33" t="str">
        <f t="shared" si="4"/>
        <v>July</v>
      </c>
      <c r="AS9" s="21" t="s">
        <v>5</v>
      </c>
      <c r="AT9" s="29">
        <f t="shared" si="5"/>
        <v>24</v>
      </c>
      <c r="AU9" s="29">
        <f t="shared" si="6"/>
        <v>1</v>
      </c>
      <c r="AV9" s="29">
        <f t="shared" si="7"/>
        <v>2</v>
      </c>
      <c r="AW9" s="29">
        <f t="shared" si="8"/>
        <v>4</v>
      </c>
      <c r="AX9" s="30">
        <f t="shared" si="10"/>
        <v>31</v>
      </c>
      <c r="AY9" s="29">
        <f>JULReport[[#This Row],[Days]]-JULReport[[#This Row],[Adsent]]</f>
        <v>30</v>
      </c>
      <c r="AZ9" s="31">
        <v>25000</v>
      </c>
      <c r="BA9" s="32">
        <f>JULReport[[#This Row],[Salary]]/JULReport[[#This Row],[Days]]</f>
        <v>806.45161290322585</v>
      </c>
      <c r="BB9" s="31">
        <f>JULReport[[#This Row],[Perday salary]]*JULReport[[#This Row],[Adsent]]</f>
        <v>806.45161290322585</v>
      </c>
      <c r="BC9" s="31">
        <f>JULReport[[#This Row],[Salary]]-JULReport[[#This Row],[Detuction ]]</f>
        <v>24193.548387096773</v>
      </c>
      <c r="BD9" s="29"/>
      <c r="BE9" s="39"/>
      <c r="BF9" s="37"/>
      <c r="BG9" s="37"/>
      <c r="BH9" s="37"/>
      <c r="BI9" s="37"/>
      <c r="BJ9" s="37"/>
      <c r="BK9" s="37"/>
    </row>
    <row r="10" spans="4:68" ht="15.6" x14ac:dyDescent="0.3">
      <c r="D10" s="37"/>
      <c r="E10" s="41"/>
      <c r="F10" s="20">
        <v>4</v>
      </c>
      <c r="G10" s="21">
        <v>1004</v>
      </c>
      <c r="H10" s="22" t="s">
        <v>6</v>
      </c>
      <c r="I10" s="61">
        <f t="shared" si="9"/>
        <v>4</v>
      </c>
      <c r="J10" s="64" t="s">
        <v>42</v>
      </c>
      <c r="K10" s="64" t="s">
        <v>42</v>
      </c>
      <c r="L10" s="64" t="s">
        <v>42</v>
      </c>
      <c r="M10" s="64" t="s">
        <v>42</v>
      </c>
      <c r="N10" s="64" t="s">
        <v>42</v>
      </c>
      <c r="O10" s="23" t="str">
        <f t="shared" ref="O10" si="11">IF(O$5="Sun","WO","")</f>
        <v>WO</v>
      </c>
      <c r="P10" s="64" t="s">
        <v>42</v>
      </c>
      <c r="Q10" s="64" t="s">
        <v>42</v>
      </c>
      <c r="R10" s="64" t="s">
        <v>42</v>
      </c>
      <c r="S10" s="64" t="s">
        <v>42</v>
      </c>
      <c r="T10" s="64" t="s">
        <v>42</v>
      </c>
      <c r="U10" s="64" t="s">
        <v>42</v>
      </c>
      <c r="V10" s="23" t="str">
        <f t="shared" si="3"/>
        <v>WO</v>
      </c>
      <c r="W10" s="64" t="s">
        <v>42</v>
      </c>
      <c r="X10" s="64" t="s">
        <v>44</v>
      </c>
      <c r="Y10" s="64" t="s">
        <v>42</v>
      </c>
      <c r="Z10" s="64" t="s">
        <v>42</v>
      </c>
      <c r="AA10" s="64" t="s">
        <v>43</v>
      </c>
      <c r="AB10" s="64" t="s">
        <v>42</v>
      </c>
      <c r="AC10" s="23" t="str">
        <f t="shared" si="3"/>
        <v>WO</v>
      </c>
      <c r="AD10" s="64" t="s">
        <v>42</v>
      </c>
      <c r="AE10" s="64" t="s">
        <v>42</v>
      </c>
      <c r="AF10" s="64" t="s">
        <v>42</v>
      </c>
      <c r="AG10" s="64" t="s">
        <v>44</v>
      </c>
      <c r="AH10" s="64" t="s">
        <v>42</v>
      </c>
      <c r="AI10" s="64" t="s">
        <v>42</v>
      </c>
      <c r="AJ10" s="23" t="str">
        <f t="shared" si="3"/>
        <v>WO</v>
      </c>
      <c r="AK10" s="64" t="s">
        <v>42</v>
      </c>
      <c r="AL10" s="64" t="s">
        <v>43</v>
      </c>
      <c r="AM10" s="64" t="s">
        <v>42</v>
      </c>
      <c r="AN10" s="73" t="s">
        <v>42</v>
      </c>
      <c r="AO10" s="39"/>
      <c r="AP10" s="28">
        <v>4</v>
      </c>
      <c r="AQ10" s="21">
        <v>1004</v>
      </c>
      <c r="AR10" s="33" t="str">
        <f t="shared" si="4"/>
        <v>July</v>
      </c>
      <c r="AS10" s="21" t="s">
        <v>6</v>
      </c>
      <c r="AT10" s="29">
        <f t="shared" si="5"/>
        <v>23</v>
      </c>
      <c r="AU10" s="29">
        <f t="shared" si="6"/>
        <v>2</v>
      </c>
      <c r="AV10" s="29">
        <f t="shared" si="7"/>
        <v>2</v>
      </c>
      <c r="AW10" s="29">
        <f t="shared" si="8"/>
        <v>4</v>
      </c>
      <c r="AX10" s="30">
        <f t="shared" si="10"/>
        <v>31</v>
      </c>
      <c r="AY10" s="29">
        <f>JULReport[[#This Row],[Days]]-JULReport[[#This Row],[Adsent]]</f>
        <v>29</v>
      </c>
      <c r="AZ10" s="31">
        <v>30000</v>
      </c>
      <c r="BA10" s="32">
        <f>JULReport[[#This Row],[Salary]]/JULReport[[#This Row],[Days]]</f>
        <v>967.74193548387098</v>
      </c>
      <c r="BB10" s="31">
        <f>JULReport[[#This Row],[Perday salary]]*JULReport[[#This Row],[Adsent]]</f>
        <v>1935.483870967742</v>
      </c>
      <c r="BC10" s="31">
        <f>JULReport[[#This Row],[Salary]]-JULReport[[#This Row],[Detuction ]]</f>
        <v>28064.516129032258</v>
      </c>
      <c r="BD10" s="29"/>
      <c r="BE10" s="39"/>
      <c r="BF10" s="37"/>
      <c r="BG10" s="37"/>
      <c r="BH10" s="37"/>
      <c r="BI10" s="37"/>
      <c r="BJ10" s="37"/>
      <c r="BK10" s="37"/>
    </row>
    <row r="11" spans="4:68" ht="15.6" x14ac:dyDescent="0.3">
      <c r="D11" s="37"/>
      <c r="E11" s="41"/>
      <c r="F11" s="20">
        <v>5</v>
      </c>
      <c r="G11" s="21">
        <v>1005</v>
      </c>
      <c r="H11" s="22" t="s">
        <v>7</v>
      </c>
      <c r="I11" s="61">
        <f t="shared" si="9"/>
        <v>4</v>
      </c>
      <c r="J11" s="64" t="s">
        <v>42</v>
      </c>
      <c r="K11" s="64" t="s">
        <v>43</v>
      </c>
      <c r="L11" s="64" t="s">
        <v>42</v>
      </c>
      <c r="M11" s="64" t="s">
        <v>42</v>
      </c>
      <c r="N11" s="64" t="s">
        <v>42</v>
      </c>
      <c r="O11" s="23" t="str">
        <f t="shared" si="3"/>
        <v>WO</v>
      </c>
      <c r="P11" s="64" t="s">
        <v>42</v>
      </c>
      <c r="Q11" s="64" t="s">
        <v>42</v>
      </c>
      <c r="R11" s="64" t="s">
        <v>42</v>
      </c>
      <c r="S11" s="64" t="s">
        <v>42</v>
      </c>
      <c r="T11" s="64" t="s">
        <v>42</v>
      </c>
      <c r="U11" s="64" t="s">
        <v>42</v>
      </c>
      <c r="V11" s="23" t="str">
        <f t="shared" si="3"/>
        <v>WO</v>
      </c>
      <c r="W11" s="64" t="s">
        <v>42</v>
      </c>
      <c r="X11" s="64" t="s">
        <v>44</v>
      </c>
      <c r="Y11" s="64" t="s">
        <v>42</v>
      </c>
      <c r="Z11" s="64" t="s">
        <v>42</v>
      </c>
      <c r="AA11" s="64" t="s">
        <v>42</v>
      </c>
      <c r="AB11" s="64" t="s">
        <v>42</v>
      </c>
      <c r="AC11" s="23" t="str">
        <f t="shared" si="3"/>
        <v>WO</v>
      </c>
      <c r="AD11" s="64" t="s">
        <v>42</v>
      </c>
      <c r="AE11" s="64" t="s">
        <v>42</v>
      </c>
      <c r="AF11" s="64" t="s">
        <v>42</v>
      </c>
      <c r="AG11" s="64" t="s">
        <v>44</v>
      </c>
      <c r="AH11" s="64" t="s">
        <v>42</v>
      </c>
      <c r="AI11" s="64" t="s">
        <v>42</v>
      </c>
      <c r="AJ11" s="23" t="str">
        <f t="shared" si="3"/>
        <v>WO</v>
      </c>
      <c r="AK11" s="64" t="s">
        <v>42</v>
      </c>
      <c r="AL11" s="64" t="s">
        <v>42</v>
      </c>
      <c r="AM11" s="64" t="s">
        <v>42</v>
      </c>
      <c r="AN11" s="73" t="s">
        <v>42</v>
      </c>
      <c r="AO11" s="39"/>
      <c r="AP11" s="28">
        <v>5</v>
      </c>
      <c r="AQ11" s="21">
        <v>1005</v>
      </c>
      <c r="AR11" s="33" t="str">
        <f t="shared" si="4"/>
        <v>July</v>
      </c>
      <c r="AS11" s="21" t="s">
        <v>7</v>
      </c>
      <c r="AT11" s="29">
        <f t="shared" si="5"/>
        <v>24</v>
      </c>
      <c r="AU11" s="29">
        <f t="shared" si="6"/>
        <v>1</v>
      </c>
      <c r="AV11" s="29">
        <f t="shared" si="7"/>
        <v>2</v>
      </c>
      <c r="AW11" s="29">
        <f t="shared" si="8"/>
        <v>4</v>
      </c>
      <c r="AX11" s="30">
        <f t="shared" si="10"/>
        <v>31</v>
      </c>
      <c r="AY11" s="29">
        <f>JULReport[[#This Row],[Days]]-JULReport[[#This Row],[Adsent]]</f>
        <v>30</v>
      </c>
      <c r="AZ11" s="31">
        <v>45000</v>
      </c>
      <c r="BA11" s="32">
        <f>JULReport[[#This Row],[Salary]]/JULReport[[#This Row],[Days]]</f>
        <v>1451.6129032258063</v>
      </c>
      <c r="BB11" s="31">
        <f>JULReport[[#This Row],[Perday salary]]*JULReport[[#This Row],[Adsent]]</f>
        <v>1451.6129032258063</v>
      </c>
      <c r="BC11" s="31">
        <f>JULReport[[#This Row],[Salary]]-JULReport[[#This Row],[Detuction ]]</f>
        <v>43548.387096774197</v>
      </c>
      <c r="BD11" s="29"/>
      <c r="BE11" s="39"/>
      <c r="BF11" s="37"/>
      <c r="BG11" s="37"/>
      <c r="BH11" s="37"/>
      <c r="BI11" s="37"/>
      <c r="BJ11" s="37"/>
      <c r="BK11" s="37"/>
    </row>
    <row r="12" spans="4:68" ht="15.6" x14ac:dyDescent="0.3">
      <c r="D12" s="37"/>
      <c r="E12" s="41"/>
      <c r="F12" s="20">
        <v>6</v>
      </c>
      <c r="G12" s="21">
        <v>1006</v>
      </c>
      <c r="H12" s="22" t="s">
        <v>8</v>
      </c>
      <c r="I12" s="61">
        <f t="shared" si="9"/>
        <v>4</v>
      </c>
      <c r="J12" s="64" t="s">
        <v>42</v>
      </c>
      <c r="K12" s="64" t="s">
        <v>42</v>
      </c>
      <c r="L12" s="64" t="s">
        <v>42</v>
      </c>
      <c r="M12" s="64" t="s">
        <v>42</v>
      </c>
      <c r="N12" s="64" t="s">
        <v>42</v>
      </c>
      <c r="O12" s="23" t="str">
        <f t="shared" si="3"/>
        <v>WO</v>
      </c>
      <c r="P12" s="64" t="s">
        <v>42</v>
      </c>
      <c r="Q12" s="64" t="s">
        <v>42</v>
      </c>
      <c r="R12" s="64" t="s">
        <v>42</v>
      </c>
      <c r="S12" s="64" t="s">
        <v>42</v>
      </c>
      <c r="T12" s="64" t="s">
        <v>42</v>
      </c>
      <c r="U12" s="64" t="s">
        <v>42</v>
      </c>
      <c r="V12" s="23" t="str">
        <f t="shared" si="3"/>
        <v>WO</v>
      </c>
      <c r="W12" s="64" t="s">
        <v>42</v>
      </c>
      <c r="X12" s="64" t="s">
        <v>44</v>
      </c>
      <c r="Y12" s="64" t="s">
        <v>42</v>
      </c>
      <c r="Z12" s="64" t="s">
        <v>42</v>
      </c>
      <c r="AA12" s="64" t="s">
        <v>42</v>
      </c>
      <c r="AB12" s="64" t="s">
        <v>42</v>
      </c>
      <c r="AC12" s="23" t="str">
        <f t="shared" si="3"/>
        <v>WO</v>
      </c>
      <c r="AD12" s="64" t="s">
        <v>42</v>
      </c>
      <c r="AE12" s="64" t="s">
        <v>42</v>
      </c>
      <c r="AF12" s="64" t="s">
        <v>42</v>
      </c>
      <c r="AG12" s="64" t="s">
        <v>44</v>
      </c>
      <c r="AH12" s="64" t="s">
        <v>42</v>
      </c>
      <c r="AI12" s="64" t="s">
        <v>42</v>
      </c>
      <c r="AJ12" s="23" t="str">
        <f t="shared" si="3"/>
        <v>WO</v>
      </c>
      <c r="AK12" s="64" t="s">
        <v>42</v>
      </c>
      <c r="AL12" s="64" t="s">
        <v>42</v>
      </c>
      <c r="AM12" s="64" t="s">
        <v>42</v>
      </c>
      <c r="AN12" s="73" t="s">
        <v>42</v>
      </c>
      <c r="AO12" s="39"/>
      <c r="AP12" s="28">
        <v>6</v>
      </c>
      <c r="AQ12" s="21">
        <v>1006</v>
      </c>
      <c r="AR12" s="33" t="str">
        <f t="shared" si="4"/>
        <v>July</v>
      </c>
      <c r="AS12" s="21" t="s">
        <v>8</v>
      </c>
      <c r="AT12" s="29">
        <f t="shared" si="5"/>
        <v>25</v>
      </c>
      <c r="AU12" s="29">
        <f t="shared" si="6"/>
        <v>0</v>
      </c>
      <c r="AV12" s="29">
        <f t="shared" si="7"/>
        <v>2</v>
      </c>
      <c r="AW12" s="29">
        <f t="shared" si="8"/>
        <v>4</v>
      </c>
      <c r="AX12" s="30">
        <f t="shared" si="10"/>
        <v>31</v>
      </c>
      <c r="AY12" s="29">
        <f>JULReport[[#This Row],[Days]]-JULReport[[#This Row],[Adsent]]</f>
        <v>31</v>
      </c>
      <c r="AZ12" s="31">
        <v>15000</v>
      </c>
      <c r="BA12" s="32">
        <f>JULReport[[#This Row],[Salary]]/JULReport[[#This Row],[Days]]</f>
        <v>483.87096774193549</v>
      </c>
      <c r="BB12" s="31">
        <f>JULReport[[#This Row],[Perday salary]]*JULReport[[#This Row],[Adsent]]</f>
        <v>0</v>
      </c>
      <c r="BC12" s="31">
        <f>JULReport[[#This Row],[Salary]]-JULReport[[#This Row],[Detuction ]]</f>
        <v>15000</v>
      </c>
      <c r="BD12" s="29"/>
      <c r="BE12" s="39"/>
      <c r="BF12" s="37"/>
      <c r="BG12" s="37"/>
      <c r="BH12" s="37"/>
      <c r="BI12" s="37"/>
      <c r="BJ12" s="37"/>
      <c r="BK12" s="37"/>
    </row>
    <row r="13" spans="4:68" ht="15.6" x14ac:dyDescent="0.3">
      <c r="D13" s="37"/>
      <c r="E13" s="41"/>
      <c r="F13" s="20">
        <v>7</v>
      </c>
      <c r="G13" s="21">
        <v>1007</v>
      </c>
      <c r="H13" s="22" t="s">
        <v>9</v>
      </c>
      <c r="I13" s="61">
        <f t="shared" si="9"/>
        <v>4</v>
      </c>
      <c r="J13" s="64" t="s">
        <v>42</v>
      </c>
      <c r="K13" s="64" t="s">
        <v>42</v>
      </c>
      <c r="L13" s="64" t="s">
        <v>42</v>
      </c>
      <c r="M13" s="64" t="s">
        <v>42</v>
      </c>
      <c r="N13" s="64" t="s">
        <v>42</v>
      </c>
      <c r="O13" s="23" t="str">
        <f t="shared" si="3"/>
        <v>WO</v>
      </c>
      <c r="P13" s="64" t="s">
        <v>42</v>
      </c>
      <c r="Q13" s="64" t="s">
        <v>42</v>
      </c>
      <c r="R13" s="64" t="s">
        <v>42</v>
      </c>
      <c r="S13" s="64" t="s">
        <v>42</v>
      </c>
      <c r="T13" s="64" t="s">
        <v>42</v>
      </c>
      <c r="U13" s="64" t="s">
        <v>42</v>
      </c>
      <c r="V13" s="23" t="str">
        <f t="shared" si="3"/>
        <v>WO</v>
      </c>
      <c r="W13" s="64" t="s">
        <v>42</v>
      </c>
      <c r="X13" s="64" t="s">
        <v>44</v>
      </c>
      <c r="Y13" s="64" t="s">
        <v>42</v>
      </c>
      <c r="Z13" s="64" t="s">
        <v>42</v>
      </c>
      <c r="AA13" s="64" t="s">
        <v>42</v>
      </c>
      <c r="AB13" s="64" t="s">
        <v>42</v>
      </c>
      <c r="AC13" s="23" t="str">
        <f t="shared" si="3"/>
        <v>WO</v>
      </c>
      <c r="AD13" s="64" t="s">
        <v>42</v>
      </c>
      <c r="AE13" s="64" t="s">
        <v>42</v>
      </c>
      <c r="AF13" s="64" t="s">
        <v>42</v>
      </c>
      <c r="AG13" s="64" t="s">
        <v>44</v>
      </c>
      <c r="AH13" s="64" t="s">
        <v>42</v>
      </c>
      <c r="AI13" s="64" t="s">
        <v>42</v>
      </c>
      <c r="AJ13" s="23" t="str">
        <f t="shared" si="3"/>
        <v>WO</v>
      </c>
      <c r="AK13" s="64" t="s">
        <v>42</v>
      </c>
      <c r="AL13" s="64" t="s">
        <v>42</v>
      </c>
      <c r="AM13" s="64" t="s">
        <v>42</v>
      </c>
      <c r="AN13" s="73" t="s">
        <v>42</v>
      </c>
      <c r="AO13" s="39"/>
      <c r="AP13" s="28">
        <v>7</v>
      </c>
      <c r="AQ13" s="21">
        <v>1007</v>
      </c>
      <c r="AR13" s="33" t="str">
        <f t="shared" si="4"/>
        <v>July</v>
      </c>
      <c r="AS13" s="21" t="s">
        <v>9</v>
      </c>
      <c r="AT13" s="29">
        <f t="shared" si="5"/>
        <v>25</v>
      </c>
      <c r="AU13" s="29">
        <f t="shared" si="6"/>
        <v>0</v>
      </c>
      <c r="AV13" s="29">
        <f t="shared" si="7"/>
        <v>2</v>
      </c>
      <c r="AW13" s="29">
        <f t="shared" si="8"/>
        <v>4</v>
      </c>
      <c r="AX13" s="30">
        <f t="shared" si="10"/>
        <v>31</v>
      </c>
      <c r="AY13" s="29">
        <f>JULReport[[#This Row],[Days]]-JULReport[[#This Row],[Adsent]]</f>
        <v>31</v>
      </c>
      <c r="AZ13" s="31">
        <v>62000</v>
      </c>
      <c r="BA13" s="32">
        <f>JULReport[[#This Row],[Salary]]/JULReport[[#This Row],[Days]]</f>
        <v>2000</v>
      </c>
      <c r="BB13" s="31">
        <f>JULReport[[#This Row],[Perday salary]]*JULReport[[#This Row],[Adsent]]</f>
        <v>0</v>
      </c>
      <c r="BC13" s="31">
        <f>JULReport[[#This Row],[Salary]]-JULReport[[#This Row],[Detuction ]]</f>
        <v>62000</v>
      </c>
      <c r="BD13" s="29"/>
      <c r="BE13" s="39"/>
      <c r="BF13" s="37"/>
      <c r="BG13" s="37"/>
      <c r="BH13" s="37"/>
      <c r="BI13" s="37"/>
      <c r="BJ13" s="37"/>
      <c r="BK13" s="37"/>
    </row>
    <row r="14" spans="4:68" ht="15.6" x14ac:dyDescent="0.3">
      <c r="D14" s="37"/>
      <c r="E14" s="41"/>
      <c r="F14" s="20">
        <v>8</v>
      </c>
      <c r="G14" s="21">
        <v>1008</v>
      </c>
      <c r="H14" s="22" t="s">
        <v>10</v>
      </c>
      <c r="I14" s="61">
        <f t="shared" si="9"/>
        <v>4</v>
      </c>
      <c r="J14" s="64" t="s">
        <v>42</v>
      </c>
      <c r="K14" s="64" t="s">
        <v>42</v>
      </c>
      <c r="L14" s="64" t="s">
        <v>42</v>
      </c>
      <c r="M14" s="64" t="s">
        <v>42</v>
      </c>
      <c r="N14" s="64" t="s">
        <v>42</v>
      </c>
      <c r="O14" s="23" t="str">
        <f t="shared" si="3"/>
        <v>WO</v>
      </c>
      <c r="P14" s="64" t="s">
        <v>42</v>
      </c>
      <c r="Q14" s="64" t="s">
        <v>42</v>
      </c>
      <c r="R14" s="64" t="s">
        <v>43</v>
      </c>
      <c r="S14" s="64" t="s">
        <v>42</v>
      </c>
      <c r="T14" s="64" t="s">
        <v>42</v>
      </c>
      <c r="U14" s="64" t="s">
        <v>42</v>
      </c>
      <c r="V14" s="23" t="str">
        <f t="shared" si="3"/>
        <v>WO</v>
      </c>
      <c r="W14" s="64" t="s">
        <v>42</v>
      </c>
      <c r="X14" s="64" t="s">
        <v>44</v>
      </c>
      <c r="Y14" s="64" t="s">
        <v>42</v>
      </c>
      <c r="Z14" s="64" t="s">
        <v>42</v>
      </c>
      <c r="AA14" s="64" t="s">
        <v>42</v>
      </c>
      <c r="AB14" s="64" t="s">
        <v>42</v>
      </c>
      <c r="AC14" s="23" t="str">
        <f t="shared" si="3"/>
        <v>WO</v>
      </c>
      <c r="AD14" s="64" t="s">
        <v>42</v>
      </c>
      <c r="AE14" s="64" t="s">
        <v>42</v>
      </c>
      <c r="AF14" s="64" t="s">
        <v>42</v>
      </c>
      <c r="AG14" s="64" t="s">
        <v>44</v>
      </c>
      <c r="AH14" s="64" t="s">
        <v>42</v>
      </c>
      <c r="AI14" s="64" t="s">
        <v>42</v>
      </c>
      <c r="AJ14" s="23" t="str">
        <f t="shared" si="3"/>
        <v>WO</v>
      </c>
      <c r="AK14" s="64" t="s">
        <v>42</v>
      </c>
      <c r="AL14" s="64" t="s">
        <v>42</v>
      </c>
      <c r="AM14" s="64" t="s">
        <v>42</v>
      </c>
      <c r="AN14" s="73" t="s">
        <v>42</v>
      </c>
      <c r="AO14" s="39"/>
      <c r="AP14" s="28">
        <v>8</v>
      </c>
      <c r="AQ14" s="21">
        <v>1008</v>
      </c>
      <c r="AR14" s="33" t="str">
        <f t="shared" si="4"/>
        <v>July</v>
      </c>
      <c r="AS14" s="21" t="s">
        <v>10</v>
      </c>
      <c r="AT14" s="29">
        <f t="shared" si="5"/>
        <v>24</v>
      </c>
      <c r="AU14" s="29">
        <f t="shared" si="6"/>
        <v>1</v>
      </c>
      <c r="AV14" s="29">
        <f t="shared" si="7"/>
        <v>2</v>
      </c>
      <c r="AW14" s="29">
        <f t="shared" si="8"/>
        <v>4</v>
      </c>
      <c r="AX14" s="30">
        <f t="shared" si="10"/>
        <v>31</v>
      </c>
      <c r="AY14" s="29">
        <f>JULReport[[#This Row],[Days]]-JULReport[[#This Row],[Adsent]]</f>
        <v>30</v>
      </c>
      <c r="AZ14" s="31">
        <v>50000</v>
      </c>
      <c r="BA14" s="32">
        <f>JULReport[[#This Row],[Salary]]/JULReport[[#This Row],[Days]]</f>
        <v>1612.9032258064517</v>
      </c>
      <c r="BB14" s="31">
        <f>JULReport[[#This Row],[Perday salary]]*JULReport[[#This Row],[Adsent]]</f>
        <v>1612.9032258064517</v>
      </c>
      <c r="BC14" s="31">
        <f>JULReport[[#This Row],[Salary]]-JULReport[[#This Row],[Detuction ]]</f>
        <v>48387.096774193546</v>
      </c>
      <c r="BD14" s="29"/>
      <c r="BE14" s="39"/>
      <c r="BF14" s="37"/>
      <c r="BG14" s="37"/>
      <c r="BH14" s="37"/>
      <c r="BI14" s="37"/>
      <c r="BJ14" s="37"/>
      <c r="BK14" s="37"/>
    </row>
    <row r="15" spans="4:68" ht="15.6" x14ac:dyDescent="0.3">
      <c r="D15" s="37"/>
      <c r="E15" s="41"/>
      <c r="F15" s="20">
        <v>9</v>
      </c>
      <c r="G15" s="21">
        <v>1009</v>
      </c>
      <c r="H15" s="22" t="s">
        <v>11</v>
      </c>
      <c r="I15" s="61">
        <f t="shared" si="9"/>
        <v>4</v>
      </c>
      <c r="J15" s="64" t="s">
        <v>42</v>
      </c>
      <c r="K15" s="64" t="s">
        <v>42</v>
      </c>
      <c r="L15" s="64" t="s">
        <v>42</v>
      </c>
      <c r="M15" s="64" t="s">
        <v>42</v>
      </c>
      <c r="N15" s="64" t="s">
        <v>42</v>
      </c>
      <c r="O15" s="23" t="str">
        <f t="shared" si="3"/>
        <v>WO</v>
      </c>
      <c r="P15" s="64" t="s">
        <v>42</v>
      </c>
      <c r="Q15" s="64" t="s">
        <v>42</v>
      </c>
      <c r="R15" s="64" t="s">
        <v>42</v>
      </c>
      <c r="S15" s="64" t="s">
        <v>42</v>
      </c>
      <c r="T15" s="64" t="s">
        <v>42</v>
      </c>
      <c r="U15" s="64" t="s">
        <v>42</v>
      </c>
      <c r="V15" s="23" t="str">
        <f t="shared" si="3"/>
        <v>WO</v>
      </c>
      <c r="W15" s="64" t="s">
        <v>42</v>
      </c>
      <c r="X15" s="64" t="s">
        <v>44</v>
      </c>
      <c r="Y15" s="64" t="s">
        <v>42</v>
      </c>
      <c r="Z15" s="64" t="s">
        <v>42</v>
      </c>
      <c r="AA15" s="64" t="s">
        <v>42</v>
      </c>
      <c r="AB15" s="64" t="s">
        <v>42</v>
      </c>
      <c r="AC15" s="23" t="str">
        <f t="shared" ref="AC15:AJ26" si="12">IF(AC$5="Sun","WO","")</f>
        <v>WO</v>
      </c>
      <c r="AD15" s="64" t="s">
        <v>42</v>
      </c>
      <c r="AE15" s="64" t="s">
        <v>42</v>
      </c>
      <c r="AF15" s="64" t="s">
        <v>42</v>
      </c>
      <c r="AG15" s="64" t="s">
        <v>44</v>
      </c>
      <c r="AH15" s="64" t="s">
        <v>42</v>
      </c>
      <c r="AI15" s="64" t="s">
        <v>42</v>
      </c>
      <c r="AJ15" s="23" t="str">
        <f t="shared" si="12"/>
        <v>WO</v>
      </c>
      <c r="AK15" s="64" t="s">
        <v>42</v>
      </c>
      <c r="AL15" s="64" t="s">
        <v>42</v>
      </c>
      <c r="AM15" s="64" t="s">
        <v>43</v>
      </c>
      <c r="AN15" s="73" t="s">
        <v>42</v>
      </c>
      <c r="AO15" s="39"/>
      <c r="AP15" s="28">
        <v>9</v>
      </c>
      <c r="AQ15" s="21">
        <v>1009</v>
      </c>
      <c r="AR15" s="33" t="str">
        <f t="shared" si="4"/>
        <v>July</v>
      </c>
      <c r="AS15" s="21" t="s">
        <v>11</v>
      </c>
      <c r="AT15" s="29">
        <f t="shared" si="5"/>
        <v>24</v>
      </c>
      <c r="AU15" s="29">
        <f t="shared" si="6"/>
        <v>1</v>
      </c>
      <c r="AV15" s="29">
        <f t="shared" si="7"/>
        <v>2</v>
      </c>
      <c r="AW15" s="29">
        <f t="shared" si="8"/>
        <v>4</v>
      </c>
      <c r="AX15" s="30">
        <f t="shared" si="10"/>
        <v>31</v>
      </c>
      <c r="AY15" s="29">
        <f>JULReport[[#This Row],[Days]]-JULReport[[#This Row],[Adsent]]</f>
        <v>30</v>
      </c>
      <c r="AZ15" s="31">
        <v>25000</v>
      </c>
      <c r="BA15" s="32">
        <f>JULReport[[#This Row],[Salary]]/JULReport[[#This Row],[Days]]</f>
        <v>806.45161290322585</v>
      </c>
      <c r="BB15" s="31">
        <f>JULReport[[#This Row],[Perday salary]]*JULReport[[#This Row],[Adsent]]</f>
        <v>806.45161290322585</v>
      </c>
      <c r="BC15" s="31">
        <f>JULReport[[#This Row],[Salary]]-JULReport[[#This Row],[Detuction ]]</f>
        <v>24193.548387096773</v>
      </c>
      <c r="BD15" s="29"/>
      <c r="BE15" s="39"/>
      <c r="BF15" s="37"/>
      <c r="BG15" s="37"/>
      <c r="BH15" s="37"/>
      <c r="BI15" s="37"/>
      <c r="BJ15" s="37"/>
      <c r="BK15" s="37"/>
    </row>
    <row r="16" spans="4:68" ht="15.6" x14ac:dyDescent="0.3">
      <c r="D16" s="37"/>
      <c r="E16" s="41"/>
      <c r="F16" s="20">
        <v>10</v>
      </c>
      <c r="G16" s="21">
        <v>1010</v>
      </c>
      <c r="H16" s="22" t="s">
        <v>12</v>
      </c>
      <c r="I16" s="61">
        <f t="shared" si="9"/>
        <v>4</v>
      </c>
      <c r="J16" s="64" t="s">
        <v>42</v>
      </c>
      <c r="K16" s="64" t="s">
        <v>42</v>
      </c>
      <c r="L16" s="64" t="s">
        <v>42</v>
      </c>
      <c r="M16" s="64" t="s">
        <v>42</v>
      </c>
      <c r="N16" s="64" t="s">
        <v>42</v>
      </c>
      <c r="O16" s="23" t="str">
        <f t="shared" ref="O16:V26" si="13">IF(O$5="Sun","WO","")</f>
        <v>WO</v>
      </c>
      <c r="P16" s="64" t="s">
        <v>42</v>
      </c>
      <c r="Q16" s="64" t="s">
        <v>42</v>
      </c>
      <c r="R16" s="64" t="s">
        <v>42</v>
      </c>
      <c r="S16" s="64" t="s">
        <v>42</v>
      </c>
      <c r="T16" s="64" t="s">
        <v>42</v>
      </c>
      <c r="U16" s="64" t="s">
        <v>42</v>
      </c>
      <c r="V16" s="23" t="str">
        <f t="shared" si="13"/>
        <v>WO</v>
      </c>
      <c r="W16" s="64" t="s">
        <v>42</v>
      </c>
      <c r="X16" s="64" t="s">
        <v>44</v>
      </c>
      <c r="Y16" s="64" t="s">
        <v>42</v>
      </c>
      <c r="Z16" s="64" t="s">
        <v>42</v>
      </c>
      <c r="AA16" s="64" t="s">
        <v>43</v>
      </c>
      <c r="AB16" s="64" t="s">
        <v>42</v>
      </c>
      <c r="AC16" s="23" t="str">
        <f t="shared" si="12"/>
        <v>WO</v>
      </c>
      <c r="AD16" s="64" t="s">
        <v>42</v>
      </c>
      <c r="AE16" s="64" t="s">
        <v>42</v>
      </c>
      <c r="AF16" s="64" t="s">
        <v>42</v>
      </c>
      <c r="AG16" s="64" t="s">
        <v>44</v>
      </c>
      <c r="AH16" s="64" t="s">
        <v>42</v>
      </c>
      <c r="AI16" s="64" t="s">
        <v>42</v>
      </c>
      <c r="AJ16" s="23" t="str">
        <f t="shared" si="12"/>
        <v>WO</v>
      </c>
      <c r="AK16" s="64" t="s">
        <v>42</v>
      </c>
      <c r="AL16" s="64" t="s">
        <v>42</v>
      </c>
      <c r="AM16" s="64" t="s">
        <v>42</v>
      </c>
      <c r="AN16" s="73" t="s">
        <v>42</v>
      </c>
      <c r="AO16" s="39"/>
      <c r="AP16" s="28">
        <v>10</v>
      </c>
      <c r="AQ16" s="21">
        <v>1010</v>
      </c>
      <c r="AR16" s="33" t="str">
        <f t="shared" si="4"/>
        <v>July</v>
      </c>
      <c r="AS16" s="21" t="s">
        <v>12</v>
      </c>
      <c r="AT16" s="29">
        <f t="shared" si="5"/>
        <v>24</v>
      </c>
      <c r="AU16" s="29">
        <f t="shared" si="6"/>
        <v>1</v>
      </c>
      <c r="AV16" s="29">
        <f t="shared" si="7"/>
        <v>2</v>
      </c>
      <c r="AW16" s="29">
        <f t="shared" si="8"/>
        <v>4</v>
      </c>
      <c r="AX16" s="30">
        <f t="shared" si="10"/>
        <v>31</v>
      </c>
      <c r="AY16" s="29">
        <f>JULReport[[#This Row],[Days]]-JULReport[[#This Row],[Adsent]]</f>
        <v>30</v>
      </c>
      <c r="AZ16" s="31">
        <v>45000</v>
      </c>
      <c r="BA16" s="32">
        <f>JULReport[[#This Row],[Salary]]/JULReport[[#This Row],[Days]]</f>
        <v>1451.6129032258063</v>
      </c>
      <c r="BB16" s="31">
        <f>JULReport[[#This Row],[Perday salary]]*JULReport[[#This Row],[Adsent]]</f>
        <v>1451.6129032258063</v>
      </c>
      <c r="BC16" s="31">
        <f>JULReport[[#This Row],[Salary]]-JULReport[[#This Row],[Detuction ]]</f>
        <v>43548.387096774197</v>
      </c>
      <c r="BD16" s="29"/>
      <c r="BE16" s="39"/>
      <c r="BF16" s="37"/>
      <c r="BG16" s="37"/>
      <c r="BH16" s="37"/>
      <c r="BI16" s="37"/>
      <c r="BJ16" s="37"/>
      <c r="BK16" s="37"/>
    </row>
    <row r="17" spans="1:63" ht="15.6" x14ac:dyDescent="0.3">
      <c r="D17" s="37"/>
      <c r="E17" s="41"/>
      <c r="F17" s="20">
        <v>11</v>
      </c>
      <c r="G17" s="21">
        <v>1011</v>
      </c>
      <c r="H17" s="22" t="s">
        <v>13</v>
      </c>
      <c r="I17" s="61">
        <f t="shared" si="9"/>
        <v>4</v>
      </c>
      <c r="J17" s="64" t="s">
        <v>42</v>
      </c>
      <c r="K17" s="64" t="s">
        <v>43</v>
      </c>
      <c r="L17" s="64" t="s">
        <v>42</v>
      </c>
      <c r="M17" s="64" t="s">
        <v>42</v>
      </c>
      <c r="N17" s="64" t="s">
        <v>42</v>
      </c>
      <c r="O17" s="23" t="str">
        <f t="shared" si="13"/>
        <v>WO</v>
      </c>
      <c r="P17" s="64" t="s">
        <v>42</v>
      </c>
      <c r="Q17" s="64" t="s">
        <v>42</v>
      </c>
      <c r="R17" s="64" t="s">
        <v>42</v>
      </c>
      <c r="S17" s="64" t="s">
        <v>42</v>
      </c>
      <c r="T17" s="64" t="s">
        <v>42</v>
      </c>
      <c r="U17" s="64" t="s">
        <v>42</v>
      </c>
      <c r="V17" s="23" t="str">
        <f t="shared" si="13"/>
        <v>WO</v>
      </c>
      <c r="W17" s="64" t="s">
        <v>42</v>
      </c>
      <c r="X17" s="64" t="s">
        <v>44</v>
      </c>
      <c r="Y17" s="64" t="s">
        <v>42</v>
      </c>
      <c r="Z17" s="64" t="s">
        <v>42</v>
      </c>
      <c r="AA17" s="64" t="s">
        <v>42</v>
      </c>
      <c r="AB17" s="64" t="s">
        <v>42</v>
      </c>
      <c r="AC17" s="23" t="str">
        <f t="shared" si="12"/>
        <v>WO</v>
      </c>
      <c r="AD17" s="64" t="s">
        <v>42</v>
      </c>
      <c r="AE17" s="64" t="s">
        <v>42</v>
      </c>
      <c r="AF17" s="64" t="s">
        <v>42</v>
      </c>
      <c r="AG17" s="64" t="s">
        <v>44</v>
      </c>
      <c r="AH17" s="64" t="s">
        <v>42</v>
      </c>
      <c r="AI17" s="64" t="s">
        <v>42</v>
      </c>
      <c r="AJ17" s="23" t="str">
        <f t="shared" si="12"/>
        <v>WO</v>
      </c>
      <c r="AK17" s="64" t="s">
        <v>42</v>
      </c>
      <c r="AL17" s="64" t="s">
        <v>42</v>
      </c>
      <c r="AM17" s="64" t="s">
        <v>42</v>
      </c>
      <c r="AN17" s="73" t="s">
        <v>42</v>
      </c>
      <c r="AO17" s="39"/>
      <c r="AP17" s="28">
        <v>11</v>
      </c>
      <c r="AQ17" s="21">
        <v>1011</v>
      </c>
      <c r="AR17" s="33" t="str">
        <f t="shared" si="4"/>
        <v>July</v>
      </c>
      <c r="AS17" s="21" t="s">
        <v>13</v>
      </c>
      <c r="AT17" s="29">
        <f t="shared" si="5"/>
        <v>24</v>
      </c>
      <c r="AU17" s="29">
        <f t="shared" si="6"/>
        <v>1</v>
      </c>
      <c r="AV17" s="29">
        <f t="shared" si="7"/>
        <v>2</v>
      </c>
      <c r="AW17" s="29">
        <f t="shared" si="8"/>
        <v>4</v>
      </c>
      <c r="AX17" s="30">
        <f t="shared" si="10"/>
        <v>31</v>
      </c>
      <c r="AY17" s="29">
        <f>JULReport[[#This Row],[Days]]-JULReport[[#This Row],[Adsent]]</f>
        <v>30</v>
      </c>
      <c r="AZ17" s="31">
        <v>48000</v>
      </c>
      <c r="BA17" s="32">
        <f>JULReport[[#This Row],[Salary]]/JULReport[[#This Row],[Days]]</f>
        <v>1548.3870967741937</v>
      </c>
      <c r="BB17" s="31">
        <f>JULReport[[#This Row],[Perday salary]]*JULReport[[#This Row],[Adsent]]</f>
        <v>1548.3870967741937</v>
      </c>
      <c r="BC17" s="31">
        <f>JULReport[[#This Row],[Salary]]-JULReport[[#This Row],[Detuction ]]</f>
        <v>46451.612903225803</v>
      </c>
      <c r="BD17" s="29"/>
      <c r="BE17" s="39"/>
      <c r="BF17" s="37"/>
      <c r="BG17" s="37"/>
      <c r="BH17" s="37"/>
      <c r="BI17" s="37"/>
      <c r="BJ17" s="37"/>
      <c r="BK17" s="37"/>
    </row>
    <row r="18" spans="1:63" ht="15.6" x14ac:dyDescent="0.3">
      <c r="D18" s="37"/>
      <c r="E18" s="41"/>
      <c r="F18" s="20">
        <v>12</v>
      </c>
      <c r="G18" s="21">
        <v>1012</v>
      </c>
      <c r="H18" s="22" t="s">
        <v>14</v>
      </c>
      <c r="I18" s="61">
        <f t="shared" si="9"/>
        <v>4</v>
      </c>
      <c r="J18" s="64" t="s">
        <v>42</v>
      </c>
      <c r="K18" s="64" t="s">
        <v>42</v>
      </c>
      <c r="L18" s="64" t="s">
        <v>42</v>
      </c>
      <c r="M18" s="64" t="s">
        <v>42</v>
      </c>
      <c r="N18" s="64" t="s">
        <v>42</v>
      </c>
      <c r="O18" s="23" t="str">
        <f t="shared" si="13"/>
        <v>WO</v>
      </c>
      <c r="P18" s="64" t="s">
        <v>42</v>
      </c>
      <c r="Q18" s="64" t="s">
        <v>42</v>
      </c>
      <c r="R18" s="64" t="s">
        <v>42</v>
      </c>
      <c r="S18" s="64" t="s">
        <v>42</v>
      </c>
      <c r="T18" s="64" t="s">
        <v>42</v>
      </c>
      <c r="U18" s="64" t="s">
        <v>42</v>
      </c>
      <c r="V18" s="23" t="str">
        <f t="shared" si="13"/>
        <v>WO</v>
      </c>
      <c r="W18" s="64" t="s">
        <v>42</v>
      </c>
      <c r="X18" s="64" t="s">
        <v>44</v>
      </c>
      <c r="Y18" s="64" t="s">
        <v>42</v>
      </c>
      <c r="Z18" s="64" t="s">
        <v>42</v>
      </c>
      <c r="AA18" s="64" t="s">
        <v>42</v>
      </c>
      <c r="AB18" s="64" t="s">
        <v>42</v>
      </c>
      <c r="AC18" s="23" t="str">
        <f t="shared" si="12"/>
        <v>WO</v>
      </c>
      <c r="AD18" s="64" t="s">
        <v>42</v>
      </c>
      <c r="AE18" s="64" t="s">
        <v>42</v>
      </c>
      <c r="AF18" s="64" t="s">
        <v>42</v>
      </c>
      <c r="AG18" s="64" t="s">
        <v>44</v>
      </c>
      <c r="AH18" s="64" t="s">
        <v>42</v>
      </c>
      <c r="AI18" s="64" t="s">
        <v>42</v>
      </c>
      <c r="AJ18" s="23" t="str">
        <f t="shared" si="12"/>
        <v>WO</v>
      </c>
      <c r="AK18" s="64" t="s">
        <v>42</v>
      </c>
      <c r="AL18" s="64" t="s">
        <v>42</v>
      </c>
      <c r="AM18" s="64" t="s">
        <v>42</v>
      </c>
      <c r="AN18" s="73" t="s">
        <v>42</v>
      </c>
      <c r="AO18" s="39"/>
      <c r="AP18" s="28">
        <v>12</v>
      </c>
      <c r="AQ18" s="21">
        <v>1012</v>
      </c>
      <c r="AR18" s="33" t="str">
        <f t="shared" si="4"/>
        <v>July</v>
      </c>
      <c r="AS18" s="21" t="s">
        <v>14</v>
      </c>
      <c r="AT18" s="29">
        <f t="shared" si="5"/>
        <v>25</v>
      </c>
      <c r="AU18" s="29">
        <f t="shared" si="6"/>
        <v>0</v>
      </c>
      <c r="AV18" s="29">
        <f t="shared" si="7"/>
        <v>2</v>
      </c>
      <c r="AW18" s="29">
        <f t="shared" si="8"/>
        <v>4</v>
      </c>
      <c r="AX18" s="30">
        <f t="shared" si="10"/>
        <v>31</v>
      </c>
      <c r="AY18" s="29">
        <f>JULReport[[#This Row],[Days]]-JULReport[[#This Row],[Adsent]]</f>
        <v>31</v>
      </c>
      <c r="AZ18" s="31">
        <v>52000</v>
      </c>
      <c r="BA18" s="32">
        <f>JULReport[[#This Row],[Salary]]/JULReport[[#This Row],[Days]]</f>
        <v>1677.4193548387098</v>
      </c>
      <c r="BB18" s="31">
        <f>JULReport[[#This Row],[Perday salary]]*JULReport[[#This Row],[Adsent]]</f>
        <v>0</v>
      </c>
      <c r="BC18" s="31">
        <f>JULReport[[#This Row],[Salary]]-JULReport[[#This Row],[Detuction ]]</f>
        <v>52000</v>
      </c>
      <c r="BD18" s="29"/>
      <c r="BE18" s="39"/>
      <c r="BF18" s="37"/>
      <c r="BG18" s="37"/>
      <c r="BH18" s="37"/>
      <c r="BI18" s="37"/>
      <c r="BJ18" s="37"/>
      <c r="BK18" s="37"/>
    </row>
    <row r="19" spans="1:63" ht="15.6" x14ac:dyDescent="0.3">
      <c r="D19" s="37"/>
      <c r="E19" s="41"/>
      <c r="F19" s="20">
        <v>13</v>
      </c>
      <c r="G19" s="21">
        <v>1013</v>
      </c>
      <c r="H19" s="22" t="s">
        <v>15</v>
      </c>
      <c r="I19" s="61">
        <f t="shared" si="9"/>
        <v>4</v>
      </c>
      <c r="J19" s="64" t="s">
        <v>42</v>
      </c>
      <c r="K19" s="64" t="s">
        <v>42</v>
      </c>
      <c r="L19" s="64" t="s">
        <v>42</v>
      </c>
      <c r="M19" s="64" t="s">
        <v>42</v>
      </c>
      <c r="N19" s="64" t="s">
        <v>42</v>
      </c>
      <c r="O19" s="23" t="str">
        <f t="shared" si="13"/>
        <v>WO</v>
      </c>
      <c r="P19" s="64" t="s">
        <v>42</v>
      </c>
      <c r="Q19" s="64" t="s">
        <v>42</v>
      </c>
      <c r="R19" s="64" t="s">
        <v>42</v>
      </c>
      <c r="S19" s="64" t="s">
        <v>42</v>
      </c>
      <c r="T19" s="64" t="s">
        <v>43</v>
      </c>
      <c r="U19" s="64" t="s">
        <v>42</v>
      </c>
      <c r="V19" s="23" t="str">
        <f t="shared" si="13"/>
        <v>WO</v>
      </c>
      <c r="W19" s="64" t="s">
        <v>42</v>
      </c>
      <c r="X19" s="64" t="s">
        <v>44</v>
      </c>
      <c r="Y19" s="64" t="s">
        <v>42</v>
      </c>
      <c r="Z19" s="64" t="s">
        <v>42</v>
      </c>
      <c r="AA19" s="64" t="s">
        <v>42</v>
      </c>
      <c r="AB19" s="64" t="s">
        <v>42</v>
      </c>
      <c r="AC19" s="23" t="str">
        <f t="shared" si="12"/>
        <v>WO</v>
      </c>
      <c r="AD19" s="64" t="s">
        <v>42</v>
      </c>
      <c r="AE19" s="64" t="s">
        <v>42</v>
      </c>
      <c r="AF19" s="64" t="s">
        <v>42</v>
      </c>
      <c r="AG19" s="64" t="s">
        <v>44</v>
      </c>
      <c r="AH19" s="64" t="s">
        <v>42</v>
      </c>
      <c r="AI19" s="64" t="s">
        <v>42</v>
      </c>
      <c r="AJ19" s="23" t="str">
        <f t="shared" si="12"/>
        <v>WO</v>
      </c>
      <c r="AK19" s="64" t="s">
        <v>42</v>
      </c>
      <c r="AL19" s="64" t="s">
        <v>42</v>
      </c>
      <c r="AM19" s="64" t="s">
        <v>42</v>
      </c>
      <c r="AN19" s="73" t="s">
        <v>42</v>
      </c>
      <c r="AO19" s="39"/>
      <c r="AP19" s="28">
        <v>13</v>
      </c>
      <c r="AQ19" s="21">
        <v>1013</v>
      </c>
      <c r="AR19" s="33" t="str">
        <f t="shared" si="4"/>
        <v>July</v>
      </c>
      <c r="AS19" s="21" t="s">
        <v>15</v>
      </c>
      <c r="AT19" s="29">
        <f t="shared" si="5"/>
        <v>24</v>
      </c>
      <c r="AU19" s="29">
        <f t="shared" si="6"/>
        <v>1</v>
      </c>
      <c r="AV19" s="29">
        <f t="shared" si="7"/>
        <v>2</v>
      </c>
      <c r="AW19" s="29">
        <f t="shared" si="8"/>
        <v>4</v>
      </c>
      <c r="AX19" s="30">
        <f t="shared" si="10"/>
        <v>31</v>
      </c>
      <c r="AY19" s="29">
        <f>JULReport[[#This Row],[Days]]-JULReport[[#This Row],[Adsent]]</f>
        <v>30</v>
      </c>
      <c r="AZ19" s="31">
        <v>42000</v>
      </c>
      <c r="BA19" s="32">
        <f>JULReport[[#This Row],[Salary]]/JULReport[[#This Row],[Days]]</f>
        <v>1354.8387096774193</v>
      </c>
      <c r="BB19" s="31">
        <f>JULReport[[#This Row],[Perday salary]]*JULReport[[#This Row],[Adsent]]</f>
        <v>1354.8387096774193</v>
      </c>
      <c r="BC19" s="31">
        <f>JULReport[[#This Row],[Salary]]-JULReport[[#This Row],[Detuction ]]</f>
        <v>40645.161290322583</v>
      </c>
      <c r="BD19" s="29"/>
      <c r="BE19" s="39"/>
      <c r="BF19" s="37"/>
      <c r="BG19" s="37"/>
      <c r="BH19" s="37"/>
      <c r="BI19" s="37"/>
      <c r="BJ19" s="37"/>
      <c r="BK19" s="37"/>
    </row>
    <row r="20" spans="1:63" ht="15.6" x14ac:dyDescent="0.3">
      <c r="D20" s="37"/>
      <c r="E20" s="41"/>
      <c r="F20" s="20">
        <v>14</v>
      </c>
      <c r="G20" s="21">
        <v>1014</v>
      </c>
      <c r="H20" s="22" t="s">
        <v>16</v>
      </c>
      <c r="I20" s="61">
        <f t="shared" si="9"/>
        <v>4</v>
      </c>
      <c r="J20" s="64" t="s">
        <v>42</v>
      </c>
      <c r="K20" s="64" t="s">
        <v>42</v>
      </c>
      <c r="L20" s="64" t="s">
        <v>42</v>
      </c>
      <c r="M20" s="64" t="s">
        <v>42</v>
      </c>
      <c r="N20" s="64" t="s">
        <v>42</v>
      </c>
      <c r="O20" s="23" t="str">
        <f t="shared" si="13"/>
        <v>WO</v>
      </c>
      <c r="P20" s="64" t="s">
        <v>42</v>
      </c>
      <c r="Q20" s="64" t="s">
        <v>42</v>
      </c>
      <c r="R20" s="64" t="s">
        <v>43</v>
      </c>
      <c r="S20" s="64" t="s">
        <v>42</v>
      </c>
      <c r="T20" s="64" t="s">
        <v>42</v>
      </c>
      <c r="U20" s="64" t="s">
        <v>42</v>
      </c>
      <c r="V20" s="23" t="str">
        <f t="shared" si="13"/>
        <v>WO</v>
      </c>
      <c r="W20" s="64" t="s">
        <v>42</v>
      </c>
      <c r="X20" s="64" t="s">
        <v>44</v>
      </c>
      <c r="Y20" s="64" t="s">
        <v>42</v>
      </c>
      <c r="Z20" s="64" t="s">
        <v>42</v>
      </c>
      <c r="AA20" s="64" t="s">
        <v>42</v>
      </c>
      <c r="AB20" s="64" t="s">
        <v>42</v>
      </c>
      <c r="AC20" s="23" t="str">
        <f t="shared" si="12"/>
        <v>WO</v>
      </c>
      <c r="AD20" s="64" t="s">
        <v>42</v>
      </c>
      <c r="AE20" s="64" t="s">
        <v>42</v>
      </c>
      <c r="AF20" s="64" t="s">
        <v>42</v>
      </c>
      <c r="AG20" s="64" t="s">
        <v>44</v>
      </c>
      <c r="AH20" s="64" t="s">
        <v>42</v>
      </c>
      <c r="AI20" s="64" t="s">
        <v>42</v>
      </c>
      <c r="AJ20" s="23" t="str">
        <f t="shared" si="12"/>
        <v>WO</v>
      </c>
      <c r="AK20" s="64" t="s">
        <v>42</v>
      </c>
      <c r="AL20" s="64" t="s">
        <v>42</v>
      </c>
      <c r="AM20" s="64" t="s">
        <v>43</v>
      </c>
      <c r="AN20" s="73" t="s">
        <v>42</v>
      </c>
      <c r="AO20" s="39"/>
      <c r="AP20" s="28">
        <v>14</v>
      </c>
      <c r="AQ20" s="21">
        <v>1014</v>
      </c>
      <c r="AR20" s="33" t="str">
        <f t="shared" si="4"/>
        <v>July</v>
      </c>
      <c r="AS20" s="21" t="s">
        <v>16</v>
      </c>
      <c r="AT20" s="29">
        <f t="shared" si="5"/>
        <v>23</v>
      </c>
      <c r="AU20" s="29">
        <f t="shared" si="6"/>
        <v>2</v>
      </c>
      <c r="AV20" s="29">
        <f t="shared" si="7"/>
        <v>2</v>
      </c>
      <c r="AW20" s="29">
        <f t="shared" si="8"/>
        <v>4</v>
      </c>
      <c r="AX20" s="30">
        <f t="shared" si="10"/>
        <v>31</v>
      </c>
      <c r="AY20" s="29">
        <f>JULReport[[#This Row],[Days]]-JULReport[[#This Row],[Adsent]]</f>
        <v>29</v>
      </c>
      <c r="AZ20" s="31">
        <v>15000</v>
      </c>
      <c r="BA20" s="32">
        <f>JULReport[[#This Row],[Salary]]/JULReport[[#This Row],[Days]]</f>
        <v>483.87096774193549</v>
      </c>
      <c r="BB20" s="31">
        <f>JULReport[[#This Row],[Perday salary]]*JULReport[[#This Row],[Adsent]]</f>
        <v>967.74193548387098</v>
      </c>
      <c r="BC20" s="31">
        <f>JULReport[[#This Row],[Salary]]-JULReport[[#This Row],[Detuction ]]</f>
        <v>14032.258064516129</v>
      </c>
      <c r="BD20" s="29"/>
      <c r="BE20" s="39"/>
      <c r="BF20" s="37"/>
      <c r="BG20" s="37"/>
      <c r="BH20" s="37"/>
      <c r="BI20" s="37"/>
      <c r="BJ20" s="37"/>
      <c r="BK20" s="37"/>
    </row>
    <row r="21" spans="1:63" ht="15.6" x14ac:dyDescent="0.3">
      <c r="D21" s="37"/>
      <c r="E21" s="41"/>
      <c r="F21" s="20">
        <v>15</v>
      </c>
      <c r="G21" s="21">
        <v>1015</v>
      </c>
      <c r="H21" s="22" t="s">
        <v>17</v>
      </c>
      <c r="I21" s="61">
        <f t="shared" si="9"/>
        <v>4</v>
      </c>
      <c r="J21" s="64" t="s">
        <v>42</v>
      </c>
      <c r="K21" s="64" t="s">
        <v>42</v>
      </c>
      <c r="L21" s="64" t="s">
        <v>42</v>
      </c>
      <c r="M21" s="64" t="s">
        <v>42</v>
      </c>
      <c r="N21" s="64" t="s">
        <v>42</v>
      </c>
      <c r="O21" s="23" t="str">
        <f t="shared" si="13"/>
        <v>WO</v>
      </c>
      <c r="P21" s="64" t="s">
        <v>42</v>
      </c>
      <c r="Q21" s="64" t="s">
        <v>42</v>
      </c>
      <c r="R21" s="64" t="s">
        <v>42</v>
      </c>
      <c r="S21" s="64" t="s">
        <v>42</v>
      </c>
      <c r="T21" s="64" t="s">
        <v>42</v>
      </c>
      <c r="U21" s="64" t="s">
        <v>42</v>
      </c>
      <c r="V21" s="23" t="str">
        <f t="shared" si="13"/>
        <v>WO</v>
      </c>
      <c r="W21" s="64" t="s">
        <v>42</v>
      </c>
      <c r="X21" s="64" t="s">
        <v>44</v>
      </c>
      <c r="Y21" s="64" t="s">
        <v>42</v>
      </c>
      <c r="Z21" s="64" t="s">
        <v>42</v>
      </c>
      <c r="AA21" s="64" t="s">
        <v>42</v>
      </c>
      <c r="AB21" s="64" t="s">
        <v>42</v>
      </c>
      <c r="AC21" s="23" t="str">
        <f t="shared" si="12"/>
        <v>WO</v>
      </c>
      <c r="AD21" s="64" t="s">
        <v>42</v>
      </c>
      <c r="AE21" s="64" t="s">
        <v>42</v>
      </c>
      <c r="AF21" s="64" t="s">
        <v>42</v>
      </c>
      <c r="AG21" s="64" t="s">
        <v>44</v>
      </c>
      <c r="AH21" s="64" t="s">
        <v>42</v>
      </c>
      <c r="AI21" s="64" t="s">
        <v>42</v>
      </c>
      <c r="AJ21" s="23" t="str">
        <f t="shared" si="12"/>
        <v>WO</v>
      </c>
      <c r="AK21" s="64" t="s">
        <v>42</v>
      </c>
      <c r="AL21" s="64" t="s">
        <v>42</v>
      </c>
      <c r="AM21" s="64" t="s">
        <v>43</v>
      </c>
      <c r="AN21" s="73" t="s">
        <v>42</v>
      </c>
      <c r="AO21" s="39"/>
      <c r="AP21" s="28">
        <v>15</v>
      </c>
      <c r="AQ21" s="21">
        <v>1015</v>
      </c>
      <c r="AR21" s="33" t="str">
        <f t="shared" si="4"/>
        <v>July</v>
      </c>
      <c r="AS21" s="21" t="s">
        <v>17</v>
      </c>
      <c r="AT21" s="29">
        <f t="shared" si="5"/>
        <v>24</v>
      </c>
      <c r="AU21" s="29">
        <f t="shared" si="6"/>
        <v>1</v>
      </c>
      <c r="AV21" s="29">
        <f t="shared" si="7"/>
        <v>2</v>
      </c>
      <c r="AW21" s="29">
        <f t="shared" si="8"/>
        <v>4</v>
      </c>
      <c r="AX21" s="30">
        <f t="shared" si="10"/>
        <v>31</v>
      </c>
      <c r="AY21" s="29">
        <f>JULReport[[#This Row],[Days]]-JULReport[[#This Row],[Adsent]]</f>
        <v>30</v>
      </c>
      <c r="AZ21" s="31">
        <v>46000</v>
      </c>
      <c r="BA21" s="32">
        <f>JULReport[[#This Row],[Salary]]/JULReport[[#This Row],[Days]]</f>
        <v>1483.8709677419354</v>
      </c>
      <c r="BB21" s="31">
        <f>JULReport[[#This Row],[Perday salary]]*JULReport[[#This Row],[Adsent]]</f>
        <v>1483.8709677419354</v>
      </c>
      <c r="BC21" s="31">
        <f>JULReport[[#This Row],[Salary]]-JULReport[[#This Row],[Detuction ]]</f>
        <v>44516.129032258068</v>
      </c>
      <c r="BD21" s="29"/>
      <c r="BE21" s="39"/>
      <c r="BF21" s="37"/>
      <c r="BG21" s="37"/>
      <c r="BH21" s="37"/>
      <c r="BI21" s="37"/>
      <c r="BJ21" s="37"/>
      <c r="BK21" s="37"/>
    </row>
    <row r="22" spans="1:63" ht="15.6" x14ac:dyDescent="0.3">
      <c r="D22" s="37"/>
      <c r="E22" s="41"/>
      <c r="F22" s="20">
        <v>16</v>
      </c>
      <c r="G22" s="21">
        <v>1016</v>
      </c>
      <c r="H22" s="22" t="s">
        <v>18</v>
      </c>
      <c r="I22" s="61">
        <f t="shared" si="9"/>
        <v>4</v>
      </c>
      <c r="J22" s="64" t="s">
        <v>42</v>
      </c>
      <c r="K22" s="64" t="s">
        <v>42</v>
      </c>
      <c r="L22" s="64" t="s">
        <v>42</v>
      </c>
      <c r="M22" s="64" t="s">
        <v>42</v>
      </c>
      <c r="N22" s="64" t="s">
        <v>42</v>
      </c>
      <c r="O22" s="23" t="str">
        <f t="shared" si="13"/>
        <v>WO</v>
      </c>
      <c r="P22" s="64" t="s">
        <v>42</v>
      </c>
      <c r="Q22" s="64" t="s">
        <v>42</v>
      </c>
      <c r="R22" s="64" t="s">
        <v>42</v>
      </c>
      <c r="S22" s="64" t="s">
        <v>43</v>
      </c>
      <c r="T22" s="64" t="s">
        <v>42</v>
      </c>
      <c r="U22" s="64" t="s">
        <v>42</v>
      </c>
      <c r="V22" s="23" t="str">
        <f t="shared" si="13"/>
        <v>WO</v>
      </c>
      <c r="W22" s="64" t="s">
        <v>42</v>
      </c>
      <c r="X22" s="64" t="s">
        <v>44</v>
      </c>
      <c r="Y22" s="64" t="s">
        <v>42</v>
      </c>
      <c r="Z22" s="64" t="s">
        <v>42</v>
      </c>
      <c r="AA22" s="64" t="s">
        <v>42</v>
      </c>
      <c r="AB22" s="64" t="s">
        <v>42</v>
      </c>
      <c r="AC22" s="23" t="str">
        <f t="shared" si="12"/>
        <v>WO</v>
      </c>
      <c r="AD22" s="64" t="s">
        <v>42</v>
      </c>
      <c r="AE22" s="64" t="s">
        <v>42</v>
      </c>
      <c r="AF22" s="64" t="s">
        <v>42</v>
      </c>
      <c r="AG22" s="64" t="s">
        <v>44</v>
      </c>
      <c r="AH22" s="64" t="s">
        <v>42</v>
      </c>
      <c r="AI22" s="64" t="s">
        <v>42</v>
      </c>
      <c r="AJ22" s="23" t="str">
        <f t="shared" si="12"/>
        <v>WO</v>
      </c>
      <c r="AK22" s="64" t="s">
        <v>42</v>
      </c>
      <c r="AL22" s="64" t="s">
        <v>42</v>
      </c>
      <c r="AM22" s="64" t="s">
        <v>43</v>
      </c>
      <c r="AN22" s="73" t="s">
        <v>42</v>
      </c>
      <c r="AO22" s="39"/>
      <c r="AP22" s="28">
        <v>16</v>
      </c>
      <c r="AQ22" s="21">
        <v>1016</v>
      </c>
      <c r="AR22" s="33" t="str">
        <f t="shared" si="4"/>
        <v>July</v>
      </c>
      <c r="AS22" s="21" t="s">
        <v>18</v>
      </c>
      <c r="AT22" s="29">
        <f t="shared" si="5"/>
        <v>23</v>
      </c>
      <c r="AU22" s="29">
        <f t="shared" si="6"/>
        <v>2</v>
      </c>
      <c r="AV22" s="29">
        <f t="shared" si="7"/>
        <v>2</v>
      </c>
      <c r="AW22" s="29">
        <f t="shared" si="8"/>
        <v>4</v>
      </c>
      <c r="AX22" s="30">
        <f t="shared" si="10"/>
        <v>31</v>
      </c>
      <c r="AY22" s="29">
        <f>JULReport[[#This Row],[Days]]-JULReport[[#This Row],[Adsent]]</f>
        <v>29</v>
      </c>
      <c r="AZ22" s="31">
        <v>52000</v>
      </c>
      <c r="BA22" s="32">
        <f>JULReport[[#This Row],[Salary]]/JULReport[[#This Row],[Days]]</f>
        <v>1677.4193548387098</v>
      </c>
      <c r="BB22" s="31">
        <f>JULReport[[#This Row],[Perday salary]]*JULReport[[#This Row],[Adsent]]</f>
        <v>3354.8387096774195</v>
      </c>
      <c r="BC22" s="31">
        <f>JULReport[[#This Row],[Salary]]-JULReport[[#This Row],[Detuction ]]</f>
        <v>48645.161290322583</v>
      </c>
      <c r="BD22" s="29"/>
      <c r="BE22" s="39"/>
      <c r="BF22" s="37"/>
      <c r="BG22" s="37"/>
      <c r="BH22" s="37"/>
      <c r="BI22" s="37"/>
      <c r="BJ22" s="37"/>
      <c r="BK22" s="37"/>
    </row>
    <row r="23" spans="1:63" ht="15.6" x14ac:dyDescent="0.3">
      <c r="D23" s="37"/>
      <c r="E23" s="41"/>
      <c r="F23" s="20">
        <v>17</v>
      </c>
      <c r="G23" s="21">
        <v>1017</v>
      </c>
      <c r="H23" s="22" t="s">
        <v>19</v>
      </c>
      <c r="I23" s="61">
        <f t="shared" si="9"/>
        <v>4</v>
      </c>
      <c r="J23" s="64" t="s">
        <v>42</v>
      </c>
      <c r="K23" s="64" t="s">
        <v>42</v>
      </c>
      <c r="L23" s="64" t="s">
        <v>42</v>
      </c>
      <c r="M23" s="64" t="s">
        <v>42</v>
      </c>
      <c r="N23" s="64" t="s">
        <v>42</v>
      </c>
      <c r="O23" s="23" t="str">
        <f t="shared" si="13"/>
        <v>WO</v>
      </c>
      <c r="P23" s="64" t="s">
        <v>42</v>
      </c>
      <c r="Q23" s="64" t="s">
        <v>42</v>
      </c>
      <c r="R23" s="64" t="s">
        <v>42</v>
      </c>
      <c r="S23" s="64" t="s">
        <v>42</v>
      </c>
      <c r="T23" s="64" t="s">
        <v>42</v>
      </c>
      <c r="U23" s="64" t="s">
        <v>42</v>
      </c>
      <c r="V23" s="23" t="str">
        <f t="shared" si="13"/>
        <v>WO</v>
      </c>
      <c r="W23" s="64" t="s">
        <v>42</v>
      </c>
      <c r="X23" s="64" t="s">
        <v>44</v>
      </c>
      <c r="Y23" s="64" t="s">
        <v>42</v>
      </c>
      <c r="Z23" s="64" t="s">
        <v>42</v>
      </c>
      <c r="AA23" s="64" t="s">
        <v>42</v>
      </c>
      <c r="AB23" s="64" t="s">
        <v>42</v>
      </c>
      <c r="AC23" s="23" t="str">
        <f t="shared" si="12"/>
        <v>WO</v>
      </c>
      <c r="AD23" s="64" t="s">
        <v>42</v>
      </c>
      <c r="AE23" s="64" t="s">
        <v>42</v>
      </c>
      <c r="AF23" s="64" t="s">
        <v>42</v>
      </c>
      <c r="AG23" s="64" t="s">
        <v>44</v>
      </c>
      <c r="AH23" s="64" t="s">
        <v>42</v>
      </c>
      <c r="AI23" s="64" t="s">
        <v>42</v>
      </c>
      <c r="AJ23" s="23" t="str">
        <f t="shared" si="12"/>
        <v>WO</v>
      </c>
      <c r="AK23" s="64" t="s">
        <v>42</v>
      </c>
      <c r="AL23" s="64" t="s">
        <v>42</v>
      </c>
      <c r="AM23" s="64" t="s">
        <v>42</v>
      </c>
      <c r="AN23" s="73" t="s">
        <v>42</v>
      </c>
      <c r="AO23" s="39"/>
      <c r="AP23" s="28">
        <v>17</v>
      </c>
      <c r="AQ23" s="21">
        <v>1017</v>
      </c>
      <c r="AR23" s="33" t="str">
        <f t="shared" si="4"/>
        <v>July</v>
      </c>
      <c r="AS23" s="21" t="s">
        <v>19</v>
      </c>
      <c r="AT23" s="29">
        <f t="shared" si="5"/>
        <v>25</v>
      </c>
      <c r="AU23" s="29">
        <f t="shared" si="6"/>
        <v>0</v>
      </c>
      <c r="AV23" s="29">
        <f t="shared" si="7"/>
        <v>2</v>
      </c>
      <c r="AW23" s="29">
        <f t="shared" si="8"/>
        <v>4</v>
      </c>
      <c r="AX23" s="30">
        <f t="shared" si="10"/>
        <v>31</v>
      </c>
      <c r="AY23" s="29">
        <f>JULReport[[#This Row],[Days]]-JULReport[[#This Row],[Adsent]]</f>
        <v>31</v>
      </c>
      <c r="AZ23" s="31">
        <v>42000</v>
      </c>
      <c r="BA23" s="32">
        <f>JULReport[[#This Row],[Salary]]/JULReport[[#This Row],[Days]]</f>
        <v>1354.8387096774193</v>
      </c>
      <c r="BB23" s="31">
        <f>JULReport[[#This Row],[Perday salary]]*JULReport[[#This Row],[Adsent]]</f>
        <v>0</v>
      </c>
      <c r="BC23" s="31">
        <f>JULReport[[#This Row],[Salary]]-JULReport[[#This Row],[Detuction ]]</f>
        <v>42000</v>
      </c>
      <c r="BD23" s="29"/>
      <c r="BE23" s="39"/>
      <c r="BF23" s="37"/>
      <c r="BG23" s="37"/>
      <c r="BH23" s="37"/>
      <c r="BI23" s="37"/>
      <c r="BJ23" s="37"/>
      <c r="BK23" s="37"/>
    </row>
    <row r="24" spans="1:63" ht="15.6" x14ac:dyDescent="0.3">
      <c r="D24" s="37"/>
      <c r="E24" s="41"/>
      <c r="F24" s="20">
        <v>18</v>
      </c>
      <c r="G24" s="21">
        <v>1018</v>
      </c>
      <c r="H24" s="22" t="s">
        <v>20</v>
      </c>
      <c r="I24" s="61">
        <f t="shared" si="9"/>
        <v>4</v>
      </c>
      <c r="J24" s="64" t="s">
        <v>42</v>
      </c>
      <c r="K24" s="64" t="s">
        <v>42</v>
      </c>
      <c r="L24" s="64" t="s">
        <v>42</v>
      </c>
      <c r="M24" s="64" t="s">
        <v>42</v>
      </c>
      <c r="N24" s="64" t="s">
        <v>42</v>
      </c>
      <c r="O24" s="23" t="str">
        <f t="shared" si="13"/>
        <v>WO</v>
      </c>
      <c r="P24" s="64" t="s">
        <v>42</v>
      </c>
      <c r="Q24" s="64" t="s">
        <v>42</v>
      </c>
      <c r="R24" s="64" t="s">
        <v>42</v>
      </c>
      <c r="S24" s="64" t="s">
        <v>42</v>
      </c>
      <c r="T24" s="64" t="s">
        <v>42</v>
      </c>
      <c r="U24" s="64" t="s">
        <v>42</v>
      </c>
      <c r="V24" s="23" t="str">
        <f t="shared" si="13"/>
        <v>WO</v>
      </c>
      <c r="W24" s="64" t="s">
        <v>42</v>
      </c>
      <c r="X24" s="64" t="s">
        <v>44</v>
      </c>
      <c r="Y24" s="64" t="s">
        <v>42</v>
      </c>
      <c r="Z24" s="64" t="s">
        <v>42</v>
      </c>
      <c r="AA24" s="64" t="s">
        <v>42</v>
      </c>
      <c r="AB24" s="64" t="s">
        <v>42</v>
      </c>
      <c r="AC24" s="23" t="str">
        <f t="shared" si="12"/>
        <v>WO</v>
      </c>
      <c r="AD24" s="64" t="s">
        <v>42</v>
      </c>
      <c r="AE24" s="64" t="s">
        <v>42</v>
      </c>
      <c r="AF24" s="64" t="s">
        <v>42</v>
      </c>
      <c r="AG24" s="64" t="s">
        <v>44</v>
      </c>
      <c r="AH24" s="64" t="s">
        <v>42</v>
      </c>
      <c r="AI24" s="64" t="s">
        <v>42</v>
      </c>
      <c r="AJ24" s="23" t="str">
        <f t="shared" si="12"/>
        <v>WO</v>
      </c>
      <c r="AK24" s="64" t="s">
        <v>42</v>
      </c>
      <c r="AL24" s="64" t="s">
        <v>42</v>
      </c>
      <c r="AM24" s="64" t="s">
        <v>42</v>
      </c>
      <c r="AN24" s="73" t="s">
        <v>42</v>
      </c>
      <c r="AO24" s="39"/>
      <c r="AP24" s="28">
        <v>18</v>
      </c>
      <c r="AQ24" s="21">
        <v>1018</v>
      </c>
      <c r="AR24" s="33" t="str">
        <f t="shared" si="4"/>
        <v>July</v>
      </c>
      <c r="AS24" s="21" t="s">
        <v>20</v>
      </c>
      <c r="AT24" s="29">
        <f t="shared" si="5"/>
        <v>25</v>
      </c>
      <c r="AU24" s="29">
        <f t="shared" si="6"/>
        <v>0</v>
      </c>
      <c r="AV24" s="29">
        <f t="shared" si="7"/>
        <v>2</v>
      </c>
      <c r="AW24" s="29">
        <f t="shared" si="8"/>
        <v>4</v>
      </c>
      <c r="AX24" s="30">
        <f t="shared" si="10"/>
        <v>31</v>
      </c>
      <c r="AY24" s="29">
        <f>JULReport[[#This Row],[Days]]-JULReport[[#This Row],[Adsent]]</f>
        <v>31</v>
      </c>
      <c r="AZ24" s="31">
        <v>62000</v>
      </c>
      <c r="BA24" s="32">
        <f>JULReport[[#This Row],[Salary]]/JULReport[[#This Row],[Days]]</f>
        <v>2000</v>
      </c>
      <c r="BB24" s="31">
        <f>JULReport[[#This Row],[Perday salary]]*JULReport[[#This Row],[Adsent]]</f>
        <v>0</v>
      </c>
      <c r="BC24" s="31">
        <f>JULReport[[#This Row],[Salary]]-JULReport[[#This Row],[Detuction ]]</f>
        <v>62000</v>
      </c>
      <c r="BD24" s="29"/>
      <c r="BE24" s="39"/>
      <c r="BF24" s="37"/>
      <c r="BG24" s="37"/>
      <c r="BH24" s="37"/>
      <c r="BI24" s="37"/>
      <c r="BJ24" s="37"/>
      <c r="BK24" s="37"/>
    </row>
    <row r="25" spans="1:63" ht="15.6" x14ac:dyDescent="0.3">
      <c r="D25" s="37"/>
      <c r="E25" s="41"/>
      <c r="F25" s="20">
        <v>19</v>
      </c>
      <c r="G25" s="21">
        <v>1019</v>
      </c>
      <c r="H25" s="22" t="s">
        <v>21</v>
      </c>
      <c r="I25" s="61">
        <f t="shared" si="9"/>
        <v>4</v>
      </c>
      <c r="J25" s="64" t="s">
        <v>42</v>
      </c>
      <c r="K25" s="64" t="s">
        <v>42</v>
      </c>
      <c r="L25" s="64" t="s">
        <v>42</v>
      </c>
      <c r="M25" s="64" t="s">
        <v>42</v>
      </c>
      <c r="N25" s="64" t="s">
        <v>42</v>
      </c>
      <c r="O25" s="23" t="str">
        <f t="shared" si="13"/>
        <v>WO</v>
      </c>
      <c r="P25" s="64" t="s">
        <v>42</v>
      </c>
      <c r="Q25" s="64" t="s">
        <v>42</v>
      </c>
      <c r="R25" s="64" t="s">
        <v>42</v>
      </c>
      <c r="S25" s="64" t="s">
        <v>42</v>
      </c>
      <c r="T25" s="64" t="s">
        <v>42</v>
      </c>
      <c r="U25" s="64" t="s">
        <v>42</v>
      </c>
      <c r="V25" s="23" t="str">
        <f t="shared" si="13"/>
        <v>WO</v>
      </c>
      <c r="W25" s="64" t="s">
        <v>42</v>
      </c>
      <c r="X25" s="64" t="s">
        <v>44</v>
      </c>
      <c r="Y25" s="64" t="s">
        <v>42</v>
      </c>
      <c r="Z25" s="64" t="s">
        <v>42</v>
      </c>
      <c r="AA25" s="64" t="s">
        <v>42</v>
      </c>
      <c r="AB25" s="64" t="s">
        <v>42</v>
      </c>
      <c r="AC25" s="23" t="str">
        <f t="shared" si="12"/>
        <v>WO</v>
      </c>
      <c r="AD25" s="64" t="s">
        <v>42</v>
      </c>
      <c r="AE25" s="64" t="s">
        <v>42</v>
      </c>
      <c r="AF25" s="64" t="s">
        <v>42</v>
      </c>
      <c r="AG25" s="64" t="s">
        <v>44</v>
      </c>
      <c r="AH25" s="64" t="s">
        <v>42</v>
      </c>
      <c r="AI25" s="64" t="s">
        <v>42</v>
      </c>
      <c r="AJ25" s="23" t="str">
        <f t="shared" si="12"/>
        <v>WO</v>
      </c>
      <c r="AK25" s="64" t="s">
        <v>42</v>
      </c>
      <c r="AL25" s="64" t="s">
        <v>42</v>
      </c>
      <c r="AM25" s="64" t="s">
        <v>42</v>
      </c>
      <c r="AN25" s="73" t="s">
        <v>42</v>
      </c>
      <c r="AO25" s="39"/>
      <c r="AP25" s="28">
        <v>19</v>
      </c>
      <c r="AQ25" s="21">
        <v>1019</v>
      </c>
      <c r="AR25" s="33" t="str">
        <f t="shared" si="4"/>
        <v>July</v>
      </c>
      <c r="AS25" s="21" t="s">
        <v>21</v>
      </c>
      <c r="AT25" s="29">
        <f t="shared" si="5"/>
        <v>25</v>
      </c>
      <c r="AU25" s="29">
        <f t="shared" si="6"/>
        <v>0</v>
      </c>
      <c r="AV25" s="29">
        <f t="shared" si="7"/>
        <v>2</v>
      </c>
      <c r="AW25" s="29">
        <f t="shared" si="8"/>
        <v>4</v>
      </c>
      <c r="AX25" s="30">
        <f t="shared" si="10"/>
        <v>31</v>
      </c>
      <c r="AY25" s="29">
        <f>JULReport[[#This Row],[Days]]-JULReport[[#This Row],[Adsent]]</f>
        <v>31</v>
      </c>
      <c r="AZ25" s="31">
        <v>41000</v>
      </c>
      <c r="BA25" s="32">
        <f>JULReport[[#This Row],[Salary]]/JULReport[[#This Row],[Days]]</f>
        <v>1322.5806451612902</v>
      </c>
      <c r="BB25" s="31">
        <f>JULReport[[#This Row],[Perday salary]]*JULReport[[#This Row],[Adsent]]</f>
        <v>0</v>
      </c>
      <c r="BC25" s="31">
        <f>JULReport[[#This Row],[Salary]]-JULReport[[#This Row],[Detuction ]]</f>
        <v>41000</v>
      </c>
      <c r="BD25" s="29"/>
      <c r="BE25" s="39"/>
      <c r="BF25" s="37"/>
      <c r="BG25" s="37"/>
      <c r="BH25" s="37"/>
      <c r="BI25" s="37"/>
      <c r="BJ25" s="37"/>
      <c r="BK25" s="37"/>
    </row>
    <row r="26" spans="1:63" ht="16.2" thickBot="1" x14ac:dyDescent="0.35">
      <c r="D26" s="37"/>
      <c r="E26" s="41"/>
      <c r="F26" s="24">
        <v>20</v>
      </c>
      <c r="G26" s="25">
        <v>1020</v>
      </c>
      <c r="H26" s="26" t="s">
        <v>22</v>
      </c>
      <c r="I26" s="62">
        <f t="shared" si="9"/>
        <v>4</v>
      </c>
      <c r="J26" s="65" t="s">
        <v>42</v>
      </c>
      <c r="K26" s="65" t="s">
        <v>42</v>
      </c>
      <c r="L26" s="65" t="s">
        <v>42</v>
      </c>
      <c r="M26" s="65" t="s">
        <v>42</v>
      </c>
      <c r="N26" s="65" t="s">
        <v>42</v>
      </c>
      <c r="O26" s="27" t="str">
        <f t="shared" si="13"/>
        <v>WO</v>
      </c>
      <c r="P26" s="65" t="s">
        <v>42</v>
      </c>
      <c r="Q26" s="65" t="s">
        <v>42</v>
      </c>
      <c r="R26" s="65" t="s">
        <v>42</v>
      </c>
      <c r="S26" s="65" t="s">
        <v>42</v>
      </c>
      <c r="T26" s="65" t="s">
        <v>42</v>
      </c>
      <c r="U26" s="65" t="s">
        <v>42</v>
      </c>
      <c r="V26" s="27" t="str">
        <f t="shared" si="13"/>
        <v>WO</v>
      </c>
      <c r="W26" s="65" t="s">
        <v>42</v>
      </c>
      <c r="X26" s="65" t="s">
        <v>44</v>
      </c>
      <c r="Y26" s="65" t="s">
        <v>42</v>
      </c>
      <c r="Z26" s="65" t="s">
        <v>42</v>
      </c>
      <c r="AA26" s="65" t="s">
        <v>42</v>
      </c>
      <c r="AB26" s="65" t="s">
        <v>42</v>
      </c>
      <c r="AC26" s="27" t="str">
        <f t="shared" si="12"/>
        <v>WO</v>
      </c>
      <c r="AD26" s="65" t="s">
        <v>42</v>
      </c>
      <c r="AE26" s="65" t="s">
        <v>42</v>
      </c>
      <c r="AF26" s="65" t="s">
        <v>42</v>
      </c>
      <c r="AG26" s="65" t="s">
        <v>44</v>
      </c>
      <c r="AH26" s="65" t="s">
        <v>42</v>
      </c>
      <c r="AI26" s="65" t="s">
        <v>42</v>
      </c>
      <c r="AJ26" s="27" t="str">
        <f t="shared" si="12"/>
        <v>WO</v>
      </c>
      <c r="AK26" s="65" t="s">
        <v>42</v>
      </c>
      <c r="AL26" s="65" t="s">
        <v>42</v>
      </c>
      <c r="AM26" s="65" t="s">
        <v>42</v>
      </c>
      <c r="AN26" s="74" t="s">
        <v>42</v>
      </c>
      <c r="AO26" s="39"/>
      <c r="AP26" s="28">
        <v>20</v>
      </c>
      <c r="AQ26" s="21">
        <v>1020</v>
      </c>
      <c r="AR26" s="33" t="str">
        <f t="shared" si="4"/>
        <v>July</v>
      </c>
      <c r="AS26" s="21" t="s">
        <v>22</v>
      </c>
      <c r="AT26" s="29">
        <f t="shared" si="5"/>
        <v>25</v>
      </c>
      <c r="AU26" s="29">
        <f t="shared" si="6"/>
        <v>0</v>
      </c>
      <c r="AV26" s="29">
        <f t="shared" si="7"/>
        <v>2</v>
      </c>
      <c r="AW26" s="29">
        <f t="shared" si="8"/>
        <v>4</v>
      </c>
      <c r="AX26" s="30">
        <f t="shared" si="10"/>
        <v>31</v>
      </c>
      <c r="AY26" s="29">
        <f>JULReport[[#This Row],[Days]]-JULReport[[#This Row],[Adsent]]</f>
        <v>31</v>
      </c>
      <c r="AZ26" s="31">
        <v>30000</v>
      </c>
      <c r="BA26" s="32">
        <f>JULReport[[#This Row],[Salary]]/JULReport[[#This Row],[Days]]</f>
        <v>967.74193548387098</v>
      </c>
      <c r="BB26" s="31">
        <f>JULReport[[#This Row],[Perday salary]]*JULReport[[#This Row],[Adsent]]</f>
        <v>0</v>
      </c>
      <c r="BC26" s="31">
        <f>JULReport[[#This Row],[Salary]]-JULReport[[#This Row],[Detuction ]]</f>
        <v>30000</v>
      </c>
      <c r="BD26" s="29"/>
      <c r="BE26" s="39"/>
      <c r="BF26" s="37"/>
      <c r="BG26" s="37"/>
      <c r="BH26" s="37"/>
      <c r="BI26" s="37"/>
      <c r="BJ26" s="37"/>
      <c r="BK26" s="37"/>
    </row>
    <row r="27" spans="1:63" x14ac:dyDescent="0.3">
      <c r="D27" s="37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  <c r="AA27" s="41"/>
      <c r="AB27" s="41"/>
      <c r="AC27" s="41"/>
      <c r="AD27" s="41"/>
      <c r="AE27" s="41"/>
      <c r="AF27" s="41"/>
      <c r="AG27" s="41"/>
      <c r="AH27" s="41"/>
      <c r="AI27" s="41"/>
      <c r="AJ27" s="41"/>
      <c r="AK27" s="41"/>
      <c r="AL27" s="41"/>
      <c r="AM27" s="41"/>
      <c r="AN27" s="41"/>
      <c r="AO27" s="39"/>
      <c r="AP27" s="39"/>
      <c r="AQ27" s="39"/>
      <c r="AR27" s="39"/>
      <c r="AS27" s="39"/>
      <c r="AT27" s="39"/>
      <c r="AU27" s="39"/>
      <c r="AV27" s="39"/>
      <c r="AW27" s="39"/>
      <c r="AX27" s="39"/>
      <c r="AY27" s="39"/>
      <c r="AZ27" s="39"/>
      <c r="BA27" s="39"/>
      <c r="BB27" s="39"/>
      <c r="BC27" s="39"/>
      <c r="BD27" s="39"/>
      <c r="BE27" s="39"/>
      <c r="BF27" s="37"/>
      <c r="BG27" s="37"/>
      <c r="BH27" s="37"/>
      <c r="BI27" s="37"/>
      <c r="BJ27" s="37"/>
      <c r="BK27" s="37"/>
    </row>
    <row r="28" spans="1:63" x14ac:dyDescent="0.3"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  <c r="AA28" s="37"/>
      <c r="AB28" s="37"/>
      <c r="AC28" s="37"/>
      <c r="AD28" s="37"/>
      <c r="AE28" s="37"/>
      <c r="AF28" s="37"/>
      <c r="AG28" s="37"/>
      <c r="AH28" s="37"/>
      <c r="AI28" s="37"/>
      <c r="AJ28" s="37"/>
      <c r="AK28" s="37"/>
      <c r="AL28" s="37"/>
      <c r="AM28" s="37"/>
      <c r="AN28" s="37"/>
      <c r="AO28" s="37"/>
      <c r="AP28" s="37"/>
      <c r="AQ28" s="37"/>
      <c r="AR28" s="37"/>
      <c r="AS28" s="37"/>
      <c r="AT28" s="37"/>
      <c r="AU28" s="37"/>
      <c r="AV28" s="37"/>
      <c r="AW28" s="37"/>
      <c r="AX28" s="37"/>
      <c r="AY28" s="37"/>
      <c r="AZ28" s="37"/>
      <c r="BA28" s="37"/>
      <c r="BB28" s="37"/>
      <c r="BC28" s="37"/>
      <c r="BD28" s="37"/>
      <c r="BE28" s="37"/>
      <c r="BF28" s="37"/>
      <c r="BG28" s="37"/>
      <c r="BH28" s="37"/>
      <c r="BI28" s="37"/>
      <c r="BJ28" s="37"/>
      <c r="BK28" s="37"/>
    </row>
    <row r="29" spans="1:63" x14ac:dyDescent="0.3"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  <c r="AA29" s="37"/>
      <c r="AB29" s="37"/>
      <c r="AC29" s="37"/>
      <c r="AD29" s="37"/>
      <c r="AE29" s="37"/>
      <c r="AF29" s="37"/>
      <c r="AG29" s="37"/>
      <c r="AH29" s="37"/>
      <c r="AI29" s="37"/>
      <c r="AJ29" s="37"/>
      <c r="AK29" s="37"/>
      <c r="AL29" s="37"/>
      <c r="AM29" s="37"/>
      <c r="AN29" s="37"/>
      <c r="AO29" s="37"/>
      <c r="AP29" s="37"/>
      <c r="AQ29" s="37"/>
      <c r="AR29" s="37"/>
      <c r="AS29" s="37"/>
      <c r="AT29" s="37"/>
      <c r="AU29" s="37"/>
      <c r="AV29" s="37"/>
      <c r="AW29" s="37"/>
      <c r="AX29" s="37"/>
      <c r="AY29" s="37"/>
      <c r="AZ29" s="37"/>
      <c r="BA29" s="37"/>
      <c r="BB29" s="37"/>
      <c r="BC29" s="37"/>
      <c r="BD29" s="37"/>
      <c r="BE29" s="37"/>
      <c r="BF29" s="37"/>
      <c r="BG29" s="37"/>
      <c r="BH29" s="37"/>
      <c r="BI29" s="37"/>
      <c r="BJ29" s="37"/>
      <c r="BK29" s="37"/>
    </row>
    <row r="30" spans="1:63" x14ac:dyDescent="0.3">
      <c r="A30" s="37"/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  <c r="AA30" s="37"/>
      <c r="AB30" s="37"/>
      <c r="AC30" s="37"/>
      <c r="AD30" s="37"/>
      <c r="AE30" s="37"/>
      <c r="AF30" s="37"/>
      <c r="AG30" s="37"/>
      <c r="AH30" s="37"/>
      <c r="AI30" s="37"/>
      <c r="AJ30" s="37"/>
      <c r="AK30" s="37"/>
      <c r="AL30" s="37"/>
      <c r="AM30" s="37"/>
      <c r="AN30" s="37"/>
      <c r="AO30" s="37"/>
      <c r="AP30" s="37"/>
      <c r="AQ30" s="37"/>
      <c r="AR30" s="37"/>
      <c r="AS30" s="37"/>
      <c r="AT30" s="37"/>
      <c r="AU30" s="37"/>
      <c r="AV30" s="37"/>
      <c r="AW30" s="37"/>
      <c r="AX30" s="37"/>
      <c r="AY30" s="37"/>
      <c r="AZ30" s="37"/>
      <c r="BA30" s="37"/>
      <c r="BB30" s="37"/>
      <c r="BC30" s="37"/>
      <c r="BD30" s="37"/>
      <c r="BE30" s="37"/>
      <c r="BF30" s="37"/>
      <c r="BG30" s="37"/>
      <c r="BH30" s="37"/>
      <c r="BI30" s="37"/>
      <c r="BJ30" s="37"/>
      <c r="BK30" s="37"/>
    </row>
    <row r="31" spans="1:63" x14ac:dyDescent="0.3">
      <c r="A31" s="37"/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  <c r="AA31" s="37"/>
      <c r="AB31" s="37"/>
      <c r="AC31" s="37"/>
      <c r="AD31" s="37"/>
      <c r="AE31" s="37"/>
      <c r="AF31" s="37"/>
      <c r="AG31" s="37"/>
      <c r="AH31" s="37"/>
      <c r="AI31" s="37"/>
      <c r="AJ31" s="37"/>
      <c r="AK31" s="37"/>
      <c r="AL31" s="37"/>
      <c r="AM31" s="37"/>
      <c r="AN31" s="37"/>
      <c r="AO31" s="37"/>
      <c r="AP31" s="37"/>
      <c r="AQ31" s="37"/>
      <c r="AR31" s="37"/>
      <c r="AS31" s="37"/>
      <c r="AT31" s="37"/>
      <c r="AU31" s="37"/>
      <c r="AV31" s="37"/>
      <c r="AW31" s="37"/>
      <c r="AX31" s="37"/>
      <c r="AY31" s="37"/>
      <c r="AZ31" s="37"/>
      <c r="BA31" s="37"/>
      <c r="BB31" s="37"/>
      <c r="BC31" s="37"/>
      <c r="BD31" s="37"/>
      <c r="BE31" s="37"/>
      <c r="BF31" s="37"/>
      <c r="BG31" s="37"/>
      <c r="BH31" s="37"/>
      <c r="BI31" s="37"/>
      <c r="BJ31" s="37"/>
      <c r="BK31" s="37"/>
    </row>
    <row r="32" spans="1:63" x14ac:dyDescent="0.3">
      <c r="A32" s="37"/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  <c r="AA32" s="37"/>
      <c r="AB32" s="37"/>
      <c r="AC32" s="37"/>
      <c r="AD32" s="37"/>
      <c r="AE32" s="37"/>
      <c r="AF32" s="37"/>
      <c r="AG32" s="37"/>
      <c r="AH32" s="37"/>
      <c r="AI32" s="37"/>
      <c r="AJ32" s="37"/>
      <c r="AK32" s="37"/>
      <c r="AL32" s="37"/>
      <c r="AM32" s="37"/>
      <c r="AN32" s="37"/>
      <c r="AO32" s="37"/>
      <c r="AP32" s="37"/>
      <c r="AQ32" s="37"/>
      <c r="AR32" s="37"/>
      <c r="AS32" s="37"/>
      <c r="AT32" s="37"/>
      <c r="AU32" s="37"/>
      <c r="AV32" s="37"/>
      <c r="AW32" s="37"/>
      <c r="AX32" s="37"/>
      <c r="AY32" s="37"/>
      <c r="AZ32" s="37"/>
      <c r="BA32" s="37"/>
      <c r="BB32" s="37"/>
      <c r="BC32" s="37"/>
      <c r="BD32" s="37"/>
      <c r="BE32" s="37"/>
      <c r="BF32" s="37"/>
      <c r="BG32" s="37"/>
      <c r="BH32" s="37"/>
      <c r="BI32" s="37"/>
      <c r="BJ32" s="37"/>
      <c r="BK32" s="37"/>
    </row>
    <row r="33" spans="1:63" x14ac:dyDescent="0.3">
      <c r="A33" s="37"/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  <c r="AA33" s="37"/>
      <c r="AB33" s="37"/>
      <c r="AC33" s="37"/>
      <c r="AD33" s="37"/>
      <c r="AE33" s="37"/>
      <c r="AF33" s="37"/>
      <c r="AG33" s="37"/>
      <c r="AH33" s="37"/>
      <c r="AI33" s="37"/>
      <c r="AJ33" s="37"/>
      <c r="AK33" s="37"/>
      <c r="AL33" s="37"/>
      <c r="AM33" s="37"/>
      <c r="AN33" s="37"/>
      <c r="AO33" s="37"/>
      <c r="AP33" s="37"/>
      <c r="AQ33" s="37"/>
      <c r="AR33" s="37"/>
      <c r="AS33" s="37"/>
      <c r="AT33" s="37"/>
      <c r="AU33" s="37"/>
      <c r="AV33" s="37"/>
      <c r="AW33" s="37"/>
      <c r="AX33" s="37"/>
      <c r="AY33" s="37"/>
      <c r="AZ33" s="37"/>
      <c r="BA33" s="37"/>
      <c r="BB33" s="37"/>
      <c r="BC33" s="37"/>
      <c r="BD33" s="37"/>
      <c r="BE33" s="37"/>
      <c r="BF33" s="37"/>
      <c r="BG33" s="37"/>
      <c r="BH33" s="37"/>
      <c r="BI33" s="37"/>
      <c r="BJ33" s="37"/>
      <c r="BK33" s="37"/>
    </row>
    <row r="34" spans="1:63" x14ac:dyDescent="0.3">
      <c r="A34" s="37"/>
      <c r="B34" s="37"/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  <c r="AA34" s="37"/>
      <c r="AB34" s="37"/>
      <c r="AC34" s="37"/>
      <c r="AD34" s="37"/>
      <c r="AE34" s="37"/>
      <c r="AF34" s="37"/>
      <c r="AG34" s="37"/>
      <c r="AH34" s="37"/>
      <c r="AI34" s="37"/>
      <c r="AJ34" s="37"/>
      <c r="AK34" s="37"/>
      <c r="AL34" s="37"/>
      <c r="AM34" s="37"/>
      <c r="AN34" s="37"/>
      <c r="AO34" s="37"/>
      <c r="AP34" s="37"/>
      <c r="AQ34" s="37"/>
      <c r="AR34" s="37"/>
      <c r="AS34" s="37"/>
      <c r="AT34" s="37"/>
      <c r="AU34" s="37"/>
      <c r="AV34" s="37"/>
      <c r="AW34" s="37"/>
      <c r="AX34" s="37"/>
      <c r="AY34" s="37"/>
      <c r="AZ34" s="37"/>
      <c r="BA34" s="37"/>
      <c r="BB34" s="37"/>
      <c r="BC34" s="37"/>
      <c r="BD34" s="37"/>
      <c r="BE34" s="37"/>
      <c r="BF34" s="37"/>
      <c r="BG34" s="37"/>
      <c r="BH34" s="37"/>
      <c r="BI34" s="37"/>
      <c r="BJ34" s="37"/>
      <c r="BK34" s="37"/>
    </row>
    <row r="35" spans="1:63" x14ac:dyDescent="0.3">
      <c r="A35" s="37"/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  <c r="AA35" s="37"/>
      <c r="AB35" s="37"/>
      <c r="AC35" s="37"/>
      <c r="AD35" s="37"/>
      <c r="AE35" s="37"/>
      <c r="AF35" s="37"/>
      <c r="AG35" s="37"/>
      <c r="AH35" s="37"/>
      <c r="AI35" s="37"/>
      <c r="AJ35" s="37"/>
      <c r="AK35" s="37"/>
      <c r="AL35" s="37"/>
      <c r="AM35" s="37"/>
      <c r="AN35" s="37"/>
      <c r="AO35" s="37"/>
      <c r="AP35" s="37"/>
      <c r="AQ35" s="37"/>
      <c r="AR35" s="37"/>
      <c r="AS35" s="37"/>
      <c r="AT35" s="37"/>
      <c r="AU35" s="37"/>
      <c r="AV35" s="37"/>
      <c r="AW35" s="37"/>
      <c r="AX35" s="37"/>
      <c r="AY35" s="37"/>
      <c r="AZ35" s="37"/>
      <c r="BA35" s="37"/>
      <c r="BB35" s="37"/>
      <c r="BC35" s="37"/>
      <c r="BD35" s="37"/>
      <c r="BE35" s="37"/>
      <c r="BF35" s="37"/>
      <c r="BG35" s="37"/>
      <c r="BH35" s="37"/>
      <c r="BI35" s="37"/>
      <c r="BJ35" s="37"/>
      <c r="BK35" s="37"/>
    </row>
    <row r="36" spans="1:63" x14ac:dyDescent="0.3">
      <c r="A36" s="37"/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  <c r="AA36" s="37"/>
      <c r="AB36" s="37"/>
      <c r="AC36" s="37"/>
      <c r="AD36" s="37"/>
      <c r="AE36" s="37"/>
      <c r="AF36" s="37"/>
      <c r="AG36" s="37"/>
      <c r="AH36" s="37"/>
      <c r="AI36" s="37"/>
      <c r="AJ36" s="37"/>
      <c r="AK36" s="37"/>
      <c r="AL36" s="37"/>
      <c r="AM36" s="37"/>
      <c r="AN36" s="37"/>
      <c r="AO36" s="37"/>
      <c r="AP36" s="37"/>
      <c r="AQ36" s="37"/>
      <c r="AR36" s="37"/>
      <c r="AS36" s="37"/>
      <c r="AT36" s="37"/>
      <c r="AU36" s="37"/>
      <c r="AV36" s="37"/>
      <c r="AW36" s="37"/>
      <c r="AX36" s="37"/>
      <c r="AY36" s="37"/>
      <c r="AZ36" s="37"/>
      <c r="BA36" s="37"/>
      <c r="BB36" s="37"/>
      <c r="BC36" s="37"/>
      <c r="BD36" s="37"/>
      <c r="BE36" s="37"/>
      <c r="BF36" s="37"/>
      <c r="BG36" s="37"/>
      <c r="BH36" s="37"/>
      <c r="BI36" s="37"/>
      <c r="BJ36" s="37"/>
      <c r="BK36" s="37"/>
    </row>
    <row r="37" spans="1:63" x14ac:dyDescent="0.3">
      <c r="A37" s="37"/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37"/>
      <c r="AB37" s="37"/>
      <c r="AC37" s="37"/>
      <c r="AD37" s="37"/>
      <c r="AE37" s="37"/>
      <c r="AF37" s="37"/>
      <c r="AG37" s="37"/>
      <c r="AH37" s="37"/>
      <c r="AI37" s="37"/>
      <c r="AJ37" s="37"/>
      <c r="AK37" s="37"/>
      <c r="AL37" s="37"/>
      <c r="AM37" s="37"/>
      <c r="AN37" s="37"/>
      <c r="AO37" s="37"/>
      <c r="AP37" s="37"/>
      <c r="AQ37" s="37"/>
      <c r="AR37" s="37"/>
      <c r="AS37" s="37"/>
      <c r="AT37" s="37"/>
      <c r="AU37" s="37"/>
      <c r="AV37" s="37"/>
      <c r="AW37" s="37"/>
      <c r="AX37" s="37"/>
      <c r="AY37" s="37"/>
      <c r="AZ37" s="37"/>
      <c r="BA37" s="37"/>
      <c r="BB37" s="37"/>
      <c r="BC37" s="37"/>
      <c r="BD37" s="37"/>
      <c r="BE37" s="37"/>
      <c r="BF37" s="37"/>
      <c r="BG37" s="37"/>
      <c r="BH37" s="37"/>
      <c r="BI37" s="37"/>
      <c r="BJ37" s="37"/>
      <c r="BK37" s="37"/>
    </row>
    <row r="38" spans="1:63" x14ac:dyDescent="0.3">
      <c r="A38" s="37"/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  <c r="AA38" s="37"/>
      <c r="AB38" s="37"/>
      <c r="AC38" s="37"/>
      <c r="AD38" s="37"/>
      <c r="AE38" s="37"/>
      <c r="AF38" s="37"/>
      <c r="AG38" s="37"/>
      <c r="AH38" s="37"/>
      <c r="AI38" s="37"/>
      <c r="AJ38" s="37"/>
      <c r="AK38" s="37"/>
      <c r="AL38" s="37"/>
      <c r="AM38" s="37"/>
      <c r="AN38" s="37"/>
      <c r="AO38" s="37"/>
      <c r="AP38" s="37"/>
      <c r="AQ38" s="37"/>
      <c r="AR38" s="37"/>
      <c r="AS38" s="37"/>
      <c r="AT38" s="37"/>
      <c r="AU38" s="37"/>
      <c r="AV38" s="37"/>
      <c r="AW38" s="37"/>
      <c r="AX38" s="37"/>
      <c r="AY38" s="37"/>
      <c r="AZ38" s="37"/>
      <c r="BA38" s="37"/>
      <c r="BB38" s="37"/>
      <c r="BC38" s="37"/>
      <c r="BD38" s="37"/>
      <c r="BE38" s="37"/>
      <c r="BF38" s="37"/>
      <c r="BG38" s="37"/>
      <c r="BH38" s="37"/>
      <c r="BI38" s="37"/>
      <c r="BJ38" s="37"/>
      <c r="BK38" s="37"/>
    </row>
    <row r="39" spans="1:63" x14ac:dyDescent="0.3">
      <c r="A39" s="37"/>
      <c r="B39" s="37"/>
      <c r="C39" s="37"/>
      <c r="D39" s="37"/>
      <c r="E39" s="37"/>
      <c r="F39" s="37"/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  <c r="AA39" s="37"/>
      <c r="AB39" s="37"/>
      <c r="AC39" s="37"/>
      <c r="AD39" s="37"/>
      <c r="AE39" s="37"/>
      <c r="AF39" s="37"/>
      <c r="AG39" s="37"/>
      <c r="AH39" s="37"/>
      <c r="AI39" s="37"/>
      <c r="AJ39" s="37"/>
      <c r="AK39" s="37"/>
      <c r="AL39" s="37"/>
      <c r="AM39" s="37"/>
      <c r="AN39" s="37"/>
      <c r="AO39" s="37"/>
      <c r="AP39" s="37"/>
      <c r="AQ39" s="37"/>
      <c r="AR39" s="37"/>
      <c r="AS39" s="37"/>
      <c r="AT39" s="37"/>
      <c r="AU39" s="37"/>
      <c r="AV39" s="37"/>
      <c r="AW39" s="37"/>
      <c r="AX39" s="37"/>
      <c r="AY39" s="37"/>
      <c r="AZ39" s="37"/>
      <c r="BA39" s="37"/>
      <c r="BB39" s="37"/>
      <c r="BC39" s="37"/>
      <c r="BD39" s="37"/>
      <c r="BE39" s="37"/>
      <c r="BF39" s="37"/>
      <c r="BG39" s="37"/>
      <c r="BH39" s="37"/>
      <c r="BI39" s="37"/>
      <c r="BJ39" s="37"/>
      <c r="BK39" s="37"/>
    </row>
    <row r="40" spans="1:63" x14ac:dyDescent="0.3">
      <c r="A40" s="37"/>
      <c r="B40" s="37"/>
      <c r="C40" s="37"/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  <c r="AA40" s="37"/>
      <c r="AB40" s="37"/>
      <c r="AC40" s="37"/>
      <c r="AD40" s="37"/>
      <c r="AE40" s="37"/>
      <c r="AF40" s="37"/>
      <c r="AG40" s="37"/>
      <c r="AH40" s="37"/>
      <c r="AI40" s="37"/>
      <c r="AJ40" s="37"/>
      <c r="AK40" s="37"/>
      <c r="AL40" s="37"/>
      <c r="AM40" s="37"/>
      <c r="AN40" s="37"/>
      <c r="AO40" s="37"/>
      <c r="AP40" s="37"/>
      <c r="AQ40" s="37"/>
      <c r="AR40" s="37"/>
      <c r="AS40" s="37"/>
      <c r="AT40" s="37"/>
      <c r="AU40" s="37"/>
      <c r="AV40" s="37"/>
      <c r="AW40" s="37"/>
      <c r="AX40" s="37"/>
      <c r="AY40" s="37"/>
      <c r="AZ40" s="37"/>
      <c r="BA40" s="37"/>
      <c r="BB40" s="37"/>
      <c r="BC40" s="37"/>
      <c r="BD40" s="37"/>
      <c r="BE40" s="37"/>
      <c r="BF40" s="37"/>
      <c r="BG40" s="37"/>
      <c r="BH40" s="37"/>
      <c r="BI40" s="37"/>
      <c r="BJ40" s="37"/>
      <c r="BK40" s="37"/>
    </row>
    <row r="41" spans="1:63" x14ac:dyDescent="0.3">
      <c r="A41" s="37"/>
      <c r="B41" s="37"/>
      <c r="C41" s="37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  <c r="AA41" s="37"/>
      <c r="AB41" s="37"/>
      <c r="AC41" s="37"/>
      <c r="AD41" s="37"/>
      <c r="AE41" s="37"/>
      <c r="AF41" s="37"/>
      <c r="AG41" s="37"/>
      <c r="AH41" s="37"/>
      <c r="AI41" s="37"/>
      <c r="AJ41" s="37"/>
      <c r="AK41" s="37"/>
      <c r="AL41" s="37"/>
      <c r="AM41" s="37"/>
      <c r="AN41" s="37"/>
      <c r="AO41" s="37"/>
      <c r="AP41" s="37"/>
      <c r="AQ41" s="37"/>
      <c r="AR41" s="37"/>
      <c r="AS41" s="37"/>
      <c r="AT41" s="37"/>
      <c r="AU41" s="37"/>
      <c r="AV41" s="37"/>
      <c r="AW41" s="37"/>
      <c r="AX41" s="37"/>
      <c r="AY41" s="37"/>
      <c r="AZ41" s="37"/>
      <c r="BA41" s="37"/>
      <c r="BB41" s="37"/>
      <c r="BC41" s="37"/>
      <c r="BD41" s="37"/>
      <c r="BE41" s="37"/>
      <c r="BF41" s="37"/>
      <c r="BG41" s="37"/>
      <c r="BH41" s="37"/>
      <c r="BI41" s="37"/>
      <c r="BJ41" s="37"/>
      <c r="BK41" s="37"/>
    </row>
    <row r="42" spans="1:63" x14ac:dyDescent="0.3">
      <c r="A42" s="37"/>
      <c r="B42" s="37"/>
      <c r="C42" s="37"/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  <c r="AA42" s="37"/>
      <c r="AB42" s="37"/>
      <c r="AC42" s="37"/>
      <c r="AD42" s="37"/>
      <c r="AE42" s="37"/>
      <c r="AF42" s="37"/>
      <c r="AG42" s="37"/>
      <c r="AH42" s="37"/>
      <c r="AI42" s="37"/>
      <c r="AJ42" s="37"/>
      <c r="AK42" s="37"/>
      <c r="AL42" s="37"/>
      <c r="AM42" s="37"/>
      <c r="AN42" s="37"/>
      <c r="AO42" s="37"/>
      <c r="AP42" s="37"/>
      <c r="AQ42" s="37"/>
      <c r="AR42" s="37"/>
      <c r="AS42" s="37"/>
      <c r="AT42" s="37"/>
      <c r="AU42" s="37"/>
      <c r="AV42" s="37"/>
      <c r="AW42" s="37"/>
      <c r="AX42" s="37"/>
      <c r="AY42" s="37"/>
      <c r="AZ42" s="37"/>
      <c r="BA42" s="37"/>
      <c r="BB42" s="37"/>
      <c r="BC42" s="37"/>
      <c r="BD42" s="37"/>
      <c r="BE42" s="37"/>
      <c r="BF42" s="37"/>
      <c r="BG42" s="37"/>
      <c r="BH42" s="37"/>
      <c r="BI42" s="37"/>
      <c r="BJ42" s="37"/>
      <c r="BK42" s="37"/>
    </row>
    <row r="43" spans="1:63" x14ac:dyDescent="0.3">
      <c r="A43" s="37"/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  <c r="AA43" s="37"/>
      <c r="AB43" s="37"/>
      <c r="AC43" s="37"/>
      <c r="AD43" s="37"/>
      <c r="AE43" s="37"/>
      <c r="AF43" s="37"/>
      <c r="AG43" s="37"/>
      <c r="AH43" s="37"/>
      <c r="AI43" s="37"/>
      <c r="AJ43" s="37"/>
      <c r="AK43" s="37"/>
      <c r="AL43" s="37"/>
      <c r="AM43" s="37"/>
      <c r="AN43" s="37"/>
      <c r="AO43" s="37"/>
      <c r="AP43" s="37"/>
      <c r="AQ43" s="37"/>
      <c r="AR43" s="37"/>
      <c r="AS43" s="37"/>
      <c r="AT43" s="37"/>
      <c r="AU43" s="37"/>
      <c r="AV43" s="37"/>
      <c r="AW43" s="37"/>
      <c r="AX43" s="37"/>
      <c r="AY43" s="37"/>
      <c r="AZ43" s="37"/>
      <c r="BA43" s="37"/>
      <c r="BB43" s="37"/>
      <c r="BC43" s="37"/>
      <c r="BD43" s="37"/>
      <c r="BE43" s="37"/>
      <c r="BF43" s="37"/>
      <c r="BG43" s="37"/>
      <c r="BH43" s="37"/>
      <c r="BI43" s="37"/>
      <c r="BJ43" s="37"/>
      <c r="BK43" s="37"/>
    </row>
    <row r="44" spans="1:63" x14ac:dyDescent="0.3">
      <c r="A44" s="37"/>
      <c r="B44" s="37"/>
      <c r="C44" s="37"/>
      <c r="D44" s="37"/>
      <c r="E44" s="37"/>
      <c r="F44" s="37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  <c r="AA44" s="37"/>
      <c r="AB44" s="37"/>
      <c r="AC44" s="37"/>
      <c r="AD44" s="37"/>
      <c r="AE44" s="37"/>
      <c r="AF44" s="37"/>
      <c r="AG44" s="37"/>
      <c r="AH44" s="37"/>
      <c r="AI44" s="37"/>
      <c r="AJ44" s="37"/>
      <c r="AK44" s="37"/>
      <c r="AL44" s="37"/>
      <c r="AM44" s="37"/>
      <c r="AN44" s="37"/>
      <c r="AO44" s="37"/>
      <c r="AP44" s="37"/>
      <c r="AQ44" s="37"/>
      <c r="AR44" s="37"/>
      <c r="AS44" s="37"/>
      <c r="AT44" s="37"/>
      <c r="AU44" s="37"/>
      <c r="AV44" s="37"/>
      <c r="AW44" s="37"/>
      <c r="AX44" s="37"/>
      <c r="AY44" s="37"/>
      <c r="AZ44" s="37"/>
      <c r="BA44" s="37"/>
      <c r="BB44" s="37"/>
      <c r="BC44" s="37"/>
      <c r="BD44" s="37"/>
      <c r="BE44" s="37"/>
      <c r="BF44" s="37"/>
      <c r="BG44" s="37"/>
      <c r="BH44" s="37"/>
      <c r="BI44" s="37"/>
      <c r="BJ44" s="37"/>
      <c r="BK44" s="37"/>
    </row>
    <row r="45" spans="1:63" x14ac:dyDescent="0.3">
      <c r="A45" s="37"/>
      <c r="B45" s="37"/>
      <c r="C45" s="37"/>
      <c r="E45" s="37"/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  <c r="AA45" s="37"/>
      <c r="AB45" s="37"/>
      <c r="AC45" s="37"/>
      <c r="AD45" s="37"/>
      <c r="AE45" s="37"/>
      <c r="AF45" s="37"/>
      <c r="AG45" s="37"/>
      <c r="AH45" s="37"/>
      <c r="AI45" s="37"/>
      <c r="AJ45" s="37"/>
      <c r="AK45" s="37"/>
      <c r="AL45" s="37"/>
      <c r="AM45" s="37"/>
      <c r="AN45" s="37"/>
      <c r="AO45" s="37"/>
      <c r="AP45" s="37"/>
      <c r="AQ45" s="37"/>
      <c r="AR45" s="37"/>
      <c r="AS45" s="37"/>
      <c r="AT45" s="37"/>
      <c r="AU45" s="37"/>
      <c r="AV45" s="37"/>
      <c r="AW45" s="37"/>
      <c r="AX45" s="37"/>
      <c r="AY45" s="37"/>
      <c r="AZ45" s="37"/>
      <c r="BA45" s="37"/>
      <c r="BB45" s="37"/>
      <c r="BC45" s="37"/>
      <c r="BD45" s="37"/>
      <c r="BE45" s="37"/>
      <c r="BF45" s="37"/>
      <c r="BG45" s="37"/>
      <c r="BH45" s="37"/>
      <c r="BI45" s="37"/>
      <c r="BJ45" s="37"/>
      <c r="BK45" s="37"/>
    </row>
    <row r="46" spans="1:63" x14ac:dyDescent="0.3">
      <c r="A46" s="37"/>
      <c r="B46" s="37"/>
      <c r="C46" s="37"/>
      <c r="D46" s="37"/>
      <c r="E46" s="37"/>
      <c r="F46" s="37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  <c r="AA46" s="37"/>
      <c r="AB46" s="37"/>
      <c r="AC46" s="37"/>
      <c r="AD46" s="37"/>
      <c r="AE46" s="37"/>
      <c r="AF46" s="37"/>
      <c r="AG46" s="37"/>
      <c r="AH46" s="37"/>
      <c r="AI46" s="37"/>
      <c r="AJ46" s="37"/>
      <c r="AK46" s="37"/>
      <c r="AL46" s="37"/>
      <c r="AM46" s="37"/>
      <c r="AN46" s="37"/>
      <c r="AO46" s="37"/>
      <c r="AP46" s="37"/>
      <c r="AQ46" s="37"/>
      <c r="AR46" s="37"/>
      <c r="AS46" s="37"/>
      <c r="AT46" s="37"/>
      <c r="AU46" s="37"/>
      <c r="AV46" s="37"/>
      <c r="AW46" s="37"/>
      <c r="AX46" s="37"/>
      <c r="AY46" s="37"/>
      <c r="AZ46" s="37"/>
      <c r="BA46" s="37"/>
      <c r="BB46" s="37"/>
      <c r="BC46" s="37"/>
      <c r="BD46" s="37"/>
      <c r="BE46" s="37"/>
      <c r="BF46" s="37"/>
      <c r="BG46" s="37"/>
      <c r="BH46" s="37"/>
      <c r="BI46" s="37"/>
      <c r="BJ46" s="37"/>
      <c r="BK46" s="37"/>
    </row>
    <row r="47" spans="1:63" x14ac:dyDescent="0.3">
      <c r="A47" s="37"/>
      <c r="B47" s="37"/>
      <c r="C47" s="37"/>
      <c r="D47" s="37"/>
      <c r="E47" s="37"/>
      <c r="F47" s="37"/>
      <c r="G47" s="37"/>
      <c r="H47" s="37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  <c r="AA47" s="37"/>
      <c r="AB47" s="37"/>
      <c r="AC47" s="37"/>
      <c r="AD47" s="37"/>
      <c r="AE47" s="37"/>
      <c r="AF47" s="37"/>
      <c r="AG47" s="37"/>
      <c r="AH47" s="37"/>
      <c r="AI47" s="37"/>
      <c r="AJ47" s="37"/>
      <c r="AK47" s="37"/>
      <c r="AL47" s="37"/>
      <c r="AM47" s="37"/>
      <c r="AN47" s="37"/>
      <c r="AO47" s="37"/>
      <c r="AP47" s="37"/>
      <c r="AQ47" s="37"/>
      <c r="AR47" s="37"/>
      <c r="AS47" s="37"/>
      <c r="AT47" s="37"/>
      <c r="AU47" s="37"/>
      <c r="AV47" s="37"/>
      <c r="AW47" s="37"/>
      <c r="AX47" s="37"/>
      <c r="AY47" s="37"/>
      <c r="AZ47" s="37"/>
      <c r="BA47" s="37"/>
      <c r="BB47" s="37"/>
      <c r="BC47" s="37"/>
      <c r="BD47" s="37"/>
      <c r="BE47" s="37"/>
      <c r="BF47" s="37"/>
      <c r="BG47" s="37"/>
      <c r="BH47" s="37"/>
      <c r="BI47" s="37"/>
      <c r="BJ47" s="37"/>
      <c r="BK47" s="37"/>
    </row>
    <row r="48" spans="1:63" x14ac:dyDescent="0.3">
      <c r="A48" s="37"/>
      <c r="B48" s="37"/>
      <c r="C48" s="37"/>
      <c r="D48" s="37"/>
      <c r="E48" s="37"/>
      <c r="F48" s="37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  <c r="AA48" s="37"/>
      <c r="AB48" s="37"/>
      <c r="AC48" s="37"/>
      <c r="AD48" s="37"/>
      <c r="AE48" s="37"/>
      <c r="AF48" s="37"/>
      <c r="AG48" s="37"/>
      <c r="AH48" s="37"/>
      <c r="AI48" s="37"/>
      <c r="AJ48" s="37"/>
      <c r="AK48" s="37"/>
      <c r="AL48" s="37"/>
      <c r="AM48" s="37"/>
      <c r="AN48" s="37"/>
      <c r="AO48" s="37"/>
      <c r="AP48" s="37"/>
      <c r="AQ48" s="37"/>
      <c r="AR48" s="37"/>
      <c r="AS48" s="37"/>
      <c r="AT48" s="37"/>
      <c r="AU48" s="37"/>
      <c r="AV48" s="37"/>
      <c r="AW48" s="37"/>
      <c r="AX48" s="37"/>
      <c r="AY48" s="37"/>
      <c r="AZ48" s="37"/>
      <c r="BA48" s="37"/>
      <c r="BB48" s="37"/>
      <c r="BC48" s="37"/>
      <c r="BD48" s="37"/>
      <c r="BE48" s="37"/>
      <c r="BF48" s="37"/>
      <c r="BG48" s="37"/>
      <c r="BH48" s="37"/>
      <c r="BI48" s="37"/>
      <c r="BJ48" s="37"/>
      <c r="BK48" s="37"/>
    </row>
    <row r="49" spans="1:4" x14ac:dyDescent="0.3">
      <c r="A49" s="37"/>
      <c r="B49" s="37"/>
      <c r="C49" s="37"/>
      <c r="D49" s="37"/>
    </row>
  </sheetData>
  <mergeCells count="1">
    <mergeCell ref="F5:H5"/>
  </mergeCells>
  <conditionalFormatting sqref="J7:AN26">
    <cfRule type="containsText" dxfId="143" priority="1" operator="containsText" text="P">
      <formula>NOT(ISERROR(SEARCH("P",J7)))</formula>
    </cfRule>
    <cfRule type="containsText" dxfId="142" priority="2" operator="containsText" text="L">
      <formula>NOT(ISERROR(SEARCH("L",J7)))</formula>
    </cfRule>
    <cfRule type="containsText" dxfId="141" priority="3" operator="containsText" text="A">
      <formula>NOT(ISERROR(SEARCH("A",J7)))</formula>
    </cfRule>
    <cfRule type="containsText" dxfId="140" priority="4" operator="containsText" text="WO">
      <formula>NOT(ISERROR(SEARCH("WO",J7)))</formula>
    </cfRule>
    <cfRule type="containsText" dxfId="139" priority="5" operator="containsText" text="WO">
      <formula>NOT(ISERROR(SEARCH("WO",J7)))</formula>
    </cfRule>
  </conditionalFormatting>
  <dataValidations count="2">
    <dataValidation type="list" allowBlank="1" showInputMessage="1" showErrorMessage="1" sqref="J7 J7:N26 P7:U26 W7:AB26 AD7:AI26 AK7:AN26">
      <formula1>"P,A,L"</formula1>
    </dataValidation>
    <dataValidation type="list" allowBlank="1" showInputMessage="1" showErrorMessage="1" sqref="H4">
      <formula1>#REF!</formula1>
    </dataValidation>
  </dataValidations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JUL!AT7:AW7</xm:f>
              <xm:sqref>BD7</xm:sqref>
            </x14:sparkline>
            <x14:sparkline>
              <xm:f>JUL!AT8:AW8</xm:f>
              <xm:sqref>BD8</xm:sqref>
            </x14:sparkline>
            <x14:sparkline>
              <xm:f>JUL!AT9:AW9</xm:f>
              <xm:sqref>BD9</xm:sqref>
            </x14:sparkline>
            <x14:sparkline>
              <xm:f>JUL!AT10:AW10</xm:f>
              <xm:sqref>BD10</xm:sqref>
            </x14:sparkline>
            <x14:sparkline>
              <xm:f>JUL!AT11:AW11</xm:f>
              <xm:sqref>BD11</xm:sqref>
            </x14:sparkline>
            <x14:sparkline>
              <xm:f>JUL!AT12:AW12</xm:f>
              <xm:sqref>BD12</xm:sqref>
            </x14:sparkline>
            <x14:sparkline>
              <xm:f>JUL!AT13:AW13</xm:f>
              <xm:sqref>BD13</xm:sqref>
            </x14:sparkline>
            <x14:sparkline>
              <xm:f>JUL!AT14:AW14</xm:f>
              <xm:sqref>BD14</xm:sqref>
            </x14:sparkline>
            <x14:sparkline>
              <xm:f>JUL!AT15:AW15</xm:f>
              <xm:sqref>BD15</xm:sqref>
            </x14:sparkline>
            <x14:sparkline>
              <xm:f>JUL!AT16:AW16</xm:f>
              <xm:sqref>BD16</xm:sqref>
            </x14:sparkline>
            <x14:sparkline>
              <xm:f>JUL!AT17:AW17</xm:f>
              <xm:sqref>BD17</xm:sqref>
            </x14:sparkline>
            <x14:sparkline>
              <xm:f>JUL!AT18:AW18</xm:f>
              <xm:sqref>BD18</xm:sqref>
            </x14:sparkline>
            <x14:sparkline>
              <xm:f>JUL!AT19:AW19</xm:f>
              <xm:sqref>BD19</xm:sqref>
            </x14:sparkline>
            <x14:sparkline>
              <xm:f>JUL!AT20:AW20</xm:f>
              <xm:sqref>BD20</xm:sqref>
            </x14:sparkline>
            <x14:sparkline>
              <xm:f>JUL!AT21:AW21</xm:f>
              <xm:sqref>BD21</xm:sqref>
            </x14:sparkline>
            <x14:sparkline>
              <xm:f>JUL!AT22:AW22</xm:f>
              <xm:sqref>BD22</xm:sqref>
            </x14:sparkline>
            <x14:sparkline>
              <xm:f>JUL!AT23:AW23</xm:f>
              <xm:sqref>BD23</xm:sqref>
            </x14:sparkline>
            <x14:sparkline>
              <xm:f>JUL!AT24:AW24</xm:f>
              <xm:sqref>BD24</xm:sqref>
            </x14:sparkline>
            <x14:sparkline>
              <xm:f>JUL!AT25:AW25</xm:f>
              <xm:sqref>BD25</xm:sqref>
            </x14:sparkline>
            <x14:sparkline>
              <xm:f>JUL!AT26:AW26</xm:f>
              <xm:sqref>BD26</xm:sqref>
            </x14:sparkline>
          </x14:sparklines>
        </x14:sparklineGroup>
      </x14:sparklineGroup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49"/>
  <sheetViews>
    <sheetView zoomScaleNormal="100" workbookViewId="0"/>
  </sheetViews>
  <sheetFormatPr defaultColWidth="9.109375" defaultRowHeight="14.4" x14ac:dyDescent="0.3"/>
  <cols>
    <col min="1" max="6" width="9.109375" style="7"/>
    <col min="7" max="7" width="11.6640625" style="7" bestFit="1" customWidth="1"/>
    <col min="8" max="8" width="20.109375" style="7" bestFit="1" customWidth="1"/>
    <col min="9" max="9" width="9.109375" style="7"/>
    <col min="10" max="10" width="5.33203125" style="7" bestFit="1" customWidth="1"/>
    <col min="11" max="11" width="6" style="7" customWidth="1"/>
    <col min="12" max="12" width="5" style="7" bestFit="1" customWidth="1"/>
    <col min="13" max="14" width="4.33203125" style="7" bestFit="1" customWidth="1"/>
    <col min="15" max="15" width="6.5546875" style="7" customWidth="1"/>
    <col min="16" max="16" width="4.33203125" style="7" bestFit="1" customWidth="1"/>
    <col min="17" max="17" width="5.109375" style="7" bestFit="1" customWidth="1"/>
    <col min="18" max="18" width="4.33203125" style="7" bestFit="1" customWidth="1"/>
    <col min="19" max="19" width="5" style="7" bestFit="1" customWidth="1"/>
    <col min="20" max="20" width="4.33203125" style="7" bestFit="1" customWidth="1"/>
    <col min="21" max="21" width="5.109375" style="7" bestFit="1" customWidth="1"/>
    <col min="22" max="22" width="5" style="7" bestFit="1" customWidth="1"/>
    <col min="23" max="23" width="4.33203125" style="7" bestFit="1" customWidth="1"/>
    <col min="24" max="24" width="5.109375" style="7" bestFit="1" customWidth="1"/>
    <col min="25" max="25" width="4.33203125" style="7" bestFit="1" customWidth="1"/>
    <col min="26" max="26" width="5" style="7" bestFit="1" customWidth="1"/>
    <col min="27" max="27" width="4.33203125" style="7" bestFit="1" customWidth="1"/>
    <col min="28" max="28" width="5.109375" style="7" bestFit="1" customWidth="1"/>
    <col min="29" max="29" width="5" style="7" bestFit="1" customWidth="1"/>
    <col min="30" max="30" width="4.33203125" style="7" bestFit="1" customWidth="1"/>
    <col min="31" max="31" width="5.109375" style="7" bestFit="1" customWidth="1"/>
    <col min="32" max="32" width="4.33203125" style="7" bestFit="1" customWidth="1"/>
    <col min="33" max="33" width="5" style="7" bestFit="1" customWidth="1"/>
    <col min="34" max="34" width="4.33203125" style="7" bestFit="1" customWidth="1"/>
    <col min="35" max="35" width="5.109375" style="7" bestFit="1" customWidth="1"/>
    <col min="36" max="37" width="4.33203125" style="7" bestFit="1" customWidth="1"/>
    <col min="38" max="38" width="5.109375" style="7" bestFit="1" customWidth="1"/>
    <col min="39" max="39" width="4.33203125" style="7" bestFit="1" customWidth="1"/>
    <col min="40" max="40" width="5.33203125" style="7" bestFit="1" customWidth="1"/>
    <col min="41" max="41" width="9.109375" style="7"/>
    <col min="42" max="42" width="9.33203125" style="7" bestFit="1" customWidth="1"/>
    <col min="43" max="44" width="14.33203125" style="7" customWidth="1"/>
    <col min="45" max="45" width="18" style="7" customWidth="1"/>
    <col min="46" max="46" width="10.5546875" style="7" customWidth="1"/>
    <col min="47" max="47" width="9.88671875" style="7" customWidth="1"/>
    <col min="48" max="48" width="9.33203125" style="7" bestFit="1" customWidth="1"/>
    <col min="49" max="49" width="12.109375" style="7" customWidth="1"/>
    <col min="50" max="50" width="9.33203125" style="7" bestFit="1" customWidth="1"/>
    <col min="51" max="51" width="11.88671875" style="7" customWidth="1"/>
    <col min="52" max="52" width="14.33203125" style="7" bestFit="1" customWidth="1"/>
    <col min="53" max="53" width="15.44140625" style="7" customWidth="1"/>
    <col min="54" max="54" width="12.88671875" style="7" customWidth="1"/>
    <col min="55" max="55" width="14.5546875" style="7" bestFit="1" customWidth="1"/>
    <col min="56" max="56" width="13.5546875" style="7" customWidth="1"/>
    <col min="57" max="16384" width="9.109375" style="7"/>
  </cols>
  <sheetData>
    <row r="1" spans="4:68" x14ac:dyDescent="0.3">
      <c r="AO1" s="37"/>
      <c r="BE1" s="37"/>
      <c r="BF1" s="37"/>
      <c r="BG1" s="37"/>
      <c r="BH1" s="37"/>
      <c r="BI1" s="37"/>
      <c r="BJ1" s="37"/>
      <c r="BK1" s="37"/>
    </row>
    <row r="2" spans="4:68" x14ac:dyDescent="0.3">
      <c r="AO2" s="37"/>
      <c r="BE2" s="37"/>
      <c r="BF2" s="37"/>
      <c r="BG2" s="37"/>
      <c r="BH2" s="37"/>
      <c r="BI2" s="37"/>
      <c r="BJ2" s="37"/>
      <c r="BK2" s="37"/>
    </row>
    <row r="3" spans="4:68" x14ac:dyDescent="0.3"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  <c r="AA3" s="37"/>
      <c r="AB3" s="37"/>
      <c r="AC3" s="37"/>
      <c r="AD3" s="37"/>
      <c r="AE3" s="37"/>
      <c r="AF3" s="37"/>
      <c r="AG3" s="37"/>
      <c r="AH3" s="37"/>
      <c r="AI3" s="37"/>
      <c r="AJ3" s="37"/>
      <c r="AK3" s="37"/>
      <c r="AL3" s="37"/>
      <c r="AM3" s="37"/>
      <c r="AN3" s="37"/>
      <c r="AO3" s="37"/>
      <c r="AP3" s="37"/>
      <c r="AQ3" s="37"/>
      <c r="AR3" s="37"/>
      <c r="AS3" s="37"/>
      <c r="AT3" s="37"/>
      <c r="AU3" s="37"/>
      <c r="AV3" s="37"/>
      <c r="AW3" s="37"/>
      <c r="AX3" s="37"/>
      <c r="AY3" s="37"/>
      <c r="AZ3" s="37"/>
      <c r="BA3" s="37"/>
      <c r="BB3" s="37"/>
      <c r="BC3" s="37"/>
      <c r="BD3" s="37"/>
      <c r="BE3" s="37"/>
      <c r="BF3" s="37"/>
      <c r="BG3" s="37"/>
      <c r="BH3" s="37"/>
      <c r="BI3" s="37"/>
      <c r="BJ3" s="37"/>
      <c r="BK3" s="37"/>
      <c r="BL3" s="37"/>
      <c r="BM3" s="37"/>
      <c r="BN3" s="37"/>
      <c r="BO3" s="37"/>
      <c r="BP3" s="37"/>
    </row>
    <row r="4" spans="4:68" ht="15" thickBot="1" x14ac:dyDescent="0.35">
      <c r="D4" s="37"/>
      <c r="E4" s="41"/>
      <c r="F4" s="41"/>
      <c r="G4" s="42" t="s">
        <v>26</v>
      </c>
      <c r="H4" s="43">
        <v>45870</v>
      </c>
      <c r="I4" s="42"/>
      <c r="J4" s="42" t="s">
        <v>27</v>
      </c>
      <c r="K4" s="43">
        <f>EOMONTH(H4,0)</f>
        <v>45900</v>
      </c>
      <c r="L4" s="42"/>
      <c r="M4" s="42"/>
      <c r="N4" s="42">
        <f>(DATEDIF($H$4,$K$4,"D"))+1</f>
        <v>31</v>
      </c>
      <c r="O4" s="44" t="str">
        <f>TEXT(H4,"MMMM")</f>
        <v>August</v>
      </c>
      <c r="P4" s="42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41"/>
      <c r="AC4" s="41"/>
      <c r="AD4" s="41"/>
      <c r="AE4" s="41"/>
      <c r="AF4" s="41"/>
      <c r="AG4" s="41"/>
      <c r="AH4" s="41"/>
      <c r="AI4" s="41"/>
      <c r="AJ4" s="41"/>
      <c r="AK4" s="41"/>
      <c r="AL4" s="41"/>
      <c r="AM4" s="41"/>
      <c r="AN4" s="41"/>
      <c r="AO4" s="37"/>
      <c r="AP4" s="37"/>
      <c r="AQ4" s="37"/>
      <c r="AR4" s="37"/>
      <c r="AS4" s="37"/>
      <c r="AT4" s="37"/>
      <c r="AU4" s="37"/>
      <c r="AV4" s="38"/>
      <c r="AW4" s="37"/>
      <c r="AX4" s="37"/>
      <c r="AY4" s="37"/>
      <c r="AZ4" s="37"/>
      <c r="BA4" s="37"/>
      <c r="BB4" s="37"/>
      <c r="BC4" s="37"/>
      <c r="BD4" s="37"/>
      <c r="BE4" s="37"/>
      <c r="BF4" s="37"/>
      <c r="BG4" s="37"/>
      <c r="BH4" s="37"/>
      <c r="BI4" s="37"/>
      <c r="BJ4" s="37"/>
      <c r="BK4" s="37"/>
      <c r="BL4" s="37"/>
      <c r="BM4" s="37"/>
      <c r="BN4" s="37"/>
      <c r="BO4" s="37"/>
      <c r="BP4" s="37"/>
    </row>
    <row r="5" spans="4:68" ht="15" thickBot="1" x14ac:dyDescent="0.35">
      <c r="D5" s="37"/>
      <c r="E5" s="41"/>
      <c r="F5" s="88" t="s">
        <v>40</v>
      </c>
      <c r="G5" s="89"/>
      <c r="H5" s="89"/>
      <c r="I5" s="8" t="s">
        <v>29</v>
      </c>
      <c r="J5" s="8" t="str">
        <f>TEXT(J6,"DDD")</f>
        <v>Fri</v>
      </c>
      <c r="K5" s="8" t="str">
        <f t="shared" ref="K5:AN5" si="0">TEXT(K6,"DDD")</f>
        <v>Sat</v>
      </c>
      <c r="L5" s="8" t="str">
        <f t="shared" si="0"/>
        <v>Sun</v>
      </c>
      <c r="M5" s="8" t="str">
        <f t="shared" si="0"/>
        <v>Mon</v>
      </c>
      <c r="N5" s="8" t="str">
        <f t="shared" si="0"/>
        <v>Tue</v>
      </c>
      <c r="O5" s="8" t="str">
        <f t="shared" si="0"/>
        <v>Wed</v>
      </c>
      <c r="P5" s="8" t="str">
        <f t="shared" si="0"/>
        <v>Thu</v>
      </c>
      <c r="Q5" s="8" t="str">
        <f t="shared" si="0"/>
        <v>Fri</v>
      </c>
      <c r="R5" s="8" t="str">
        <f t="shared" si="0"/>
        <v>Sat</v>
      </c>
      <c r="S5" s="8" t="str">
        <f t="shared" si="0"/>
        <v>Sun</v>
      </c>
      <c r="T5" s="8" t="str">
        <f t="shared" si="0"/>
        <v>Mon</v>
      </c>
      <c r="U5" s="8" t="str">
        <f t="shared" si="0"/>
        <v>Tue</v>
      </c>
      <c r="V5" s="8" t="str">
        <f t="shared" si="0"/>
        <v>Wed</v>
      </c>
      <c r="W5" s="8" t="str">
        <f t="shared" si="0"/>
        <v>Thu</v>
      </c>
      <c r="X5" s="8" t="str">
        <f t="shared" si="0"/>
        <v>Fri</v>
      </c>
      <c r="Y5" s="8" t="str">
        <f t="shared" si="0"/>
        <v>Sat</v>
      </c>
      <c r="Z5" s="8" t="str">
        <f t="shared" si="0"/>
        <v>Sun</v>
      </c>
      <c r="AA5" s="8" t="str">
        <f t="shared" si="0"/>
        <v>Mon</v>
      </c>
      <c r="AB5" s="8" t="str">
        <f t="shared" si="0"/>
        <v>Tue</v>
      </c>
      <c r="AC5" s="8" t="str">
        <f t="shared" si="0"/>
        <v>Wed</v>
      </c>
      <c r="AD5" s="8" t="str">
        <f t="shared" si="0"/>
        <v>Thu</v>
      </c>
      <c r="AE5" s="8" t="str">
        <f t="shared" si="0"/>
        <v>Fri</v>
      </c>
      <c r="AF5" s="8" t="str">
        <f t="shared" si="0"/>
        <v>Sat</v>
      </c>
      <c r="AG5" s="8" t="str">
        <f t="shared" si="0"/>
        <v>Sun</v>
      </c>
      <c r="AH5" s="8" t="str">
        <f t="shared" si="0"/>
        <v>Mon</v>
      </c>
      <c r="AI5" s="8" t="str">
        <f t="shared" si="0"/>
        <v>Tue</v>
      </c>
      <c r="AJ5" s="8" t="str">
        <f t="shared" si="0"/>
        <v>Wed</v>
      </c>
      <c r="AK5" s="8" t="str">
        <f t="shared" si="0"/>
        <v>Thu</v>
      </c>
      <c r="AL5" s="8" t="str">
        <f t="shared" si="0"/>
        <v>Fri</v>
      </c>
      <c r="AM5" s="8" t="str">
        <f t="shared" si="0"/>
        <v>Sat</v>
      </c>
      <c r="AN5" s="9" t="str">
        <f t="shared" si="0"/>
        <v>Sun</v>
      </c>
      <c r="AO5" s="39"/>
      <c r="AP5" s="39"/>
      <c r="AQ5" s="39"/>
      <c r="AR5" s="39"/>
      <c r="AS5" s="39"/>
      <c r="AT5" s="39"/>
      <c r="AU5" s="39"/>
      <c r="AV5" s="39"/>
      <c r="AW5" s="39"/>
      <c r="AX5" s="39"/>
      <c r="AY5" s="39"/>
      <c r="AZ5" s="39"/>
      <c r="BA5" s="39"/>
      <c r="BB5" s="39"/>
      <c r="BC5" s="39"/>
      <c r="BD5" s="39"/>
      <c r="BE5" s="39"/>
      <c r="BF5" s="37"/>
      <c r="BG5" s="37"/>
      <c r="BH5" s="37"/>
      <c r="BI5" s="37"/>
      <c r="BJ5" s="37"/>
      <c r="BK5" s="37"/>
    </row>
    <row r="6" spans="4:68" ht="18.600000000000001" thickBot="1" x14ac:dyDescent="0.35">
      <c r="D6" s="37"/>
      <c r="E6" s="41"/>
      <c r="F6" s="10" t="s">
        <v>24</v>
      </c>
      <c r="G6" s="11" t="s">
        <v>23</v>
      </c>
      <c r="H6" s="12" t="s">
        <v>25</v>
      </c>
      <c r="I6" s="13" t="s">
        <v>28</v>
      </c>
      <c r="J6" s="14">
        <f>H4</f>
        <v>45870</v>
      </c>
      <c r="K6" s="14">
        <f>IF(J6&lt;$K$4,J6+1,"")</f>
        <v>45871</v>
      </c>
      <c r="L6" s="14">
        <f t="shared" ref="L6:AL6" si="1">IF(K6&lt;$K$4,K6+1,"")</f>
        <v>45872</v>
      </c>
      <c r="M6" s="14">
        <f t="shared" si="1"/>
        <v>45873</v>
      </c>
      <c r="N6" s="14">
        <f t="shared" si="1"/>
        <v>45874</v>
      </c>
      <c r="O6" s="14">
        <f t="shared" si="1"/>
        <v>45875</v>
      </c>
      <c r="P6" s="14">
        <f t="shared" si="1"/>
        <v>45876</v>
      </c>
      <c r="Q6" s="14">
        <f t="shared" si="1"/>
        <v>45877</v>
      </c>
      <c r="R6" s="14">
        <f t="shared" si="1"/>
        <v>45878</v>
      </c>
      <c r="S6" s="14">
        <f t="shared" si="1"/>
        <v>45879</v>
      </c>
      <c r="T6" s="14">
        <f t="shared" si="1"/>
        <v>45880</v>
      </c>
      <c r="U6" s="14">
        <f t="shared" si="1"/>
        <v>45881</v>
      </c>
      <c r="V6" s="14">
        <f t="shared" si="1"/>
        <v>45882</v>
      </c>
      <c r="W6" s="14">
        <f t="shared" si="1"/>
        <v>45883</v>
      </c>
      <c r="X6" s="14">
        <f t="shared" si="1"/>
        <v>45884</v>
      </c>
      <c r="Y6" s="14">
        <f t="shared" si="1"/>
        <v>45885</v>
      </c>
      <c r="Z6" s="14">
        <f t="shared" si="1"/>
        <v>45886</v>
      </c>
      <c r="AA6" s="14">
        <f t="shared" si="1"/>
        <v>45887</v>
      </c>
      <c r="AB6" s="14">
        <f t="shared" si="1"/>
        <v>45888</v>
      </c>
      <c r="AC6" s="14">
        <f t="shared" si="1"/>
        <v>45889</v>
      </c>
      <c r="AD6" s="14">
        <f t="shared" si="1"/>
        <v>45890</v>
      </c>
      <c r="AE6" s="14">
        <f t="shared" si="1"/>
        <v>45891</v>
      </c>
      <c r="AF6" s="14">
        <f t="shared" si="1"/>
        <v>45892</v>
      </c>
      <c r="AG6" s="14">
        <f t="shared" si="1"/>
        <v>45893</v>
      </c>
      <c r="AH6" s="14">
        <f t="shared" si="1"/>
        <v>45894</v>
      </c>
      <c r="AI6" s="14">
        <f t="shared" si="1"/>
        <v>45895</v>
      </c>
      <c r="AJ6" s="14">
        <f t="shared" si="1"/>
        <v>45896</v>
      </c>
      <c r="AK6" s="14">
        <f t="shared" si="1"/>
        <v>45897</v>
      </c>
      <c r="AL6" s="14">
        <f t="shared" si="1"/>
        <v>45898</v>
      </c>
      <c r="AM6" s="14">
        <f t="shared" ref="AM6:AN6" si="2">IF(AL6&lt;=$K$4,AL6+1,"")</f>
        <v>45899</v>
      </c>
      <c r="AN6" s="15">
        <f t="shared" si="2"/>
        <v>45900</v>
      </c>
      <c r="AO6" s="40"/>
      <c r="AP6" s="34" t="s">
        <v>24</v>
      </c>
      <c r="AQ6" s="35" t="s">
        <v>23</v>
      </c>
      <c r="AR6" s="35" t="s">
        <v>41</v>
      </c>
      <c r="AS6" s="35" t="s">
        <v>25</v>
      </c>
      <c r="AT6" s="35" t="s">
        <v>30</v>
      </c>
      <c r="AU6" s="35" t="s">
        <v>31</v>
      </c>
      <c r="AV6" s="35" t="s">
        <v>32</v>
      </c>
      <c r="AW6" s="35" t="s">
        <v>38</v>
      </c>
      <c r="AX6" s="35" t="s">
        <v>29</v>
      </c>
      <c r="AY6" s="35" t="s">
        <v>33</v>
      </c>
      <c r="AZ6" s="35" t="s">
        <v>34</v>
      </c>
      <c r="BA6" s="35" t="s">
        <v>35</v>
      </c>
      <c r="BB6" s="35" t="s">
        <v>36</v>
      </c>
      <c r="BC6" s="35" t="s">
        <v>37</v>
      </c>
      <c r="BD6" s="36" t="s">
        <v>39</v>
      </c>
      <c r="BE6" s="39"/>
      <c r="BF6" s="37"/>
      <c r="BG6" s="37"/>
      <c r="BH6" s="37"/>
      <c r="BI6" s="37"/>
      <c r="BJ6" s="37"/>
      <c r="BK6" s="37"/>
    </row>
    <row r="7" spans="4:68" ht="15.6" x14ac:dyDescent="0.3">
      <c r="D7" s="37"/>
      <c r="E7" s="41"/>
      <c r="F7" s="16">
        <v>1</v>
      </c>
      <c r="G7" s="17">
        <v>1001</v>
      </c>
      <c r="H7" s="18" t="s">
        <v>3</v>
      </c>
      <c r="I7" s="60">
        <f>COUNTIF($J$5:$AN$5,"SUN")</f>
        <v>5</v>
      </c>
      <c r="J7" s="63" t="s">
        <v>42</v>
      </c>
      <c r="K7" s="63" t="s">
        <v>42</v>
      </c>
      <c r="L7" s="66" t="str">
        <f t="shared" ref="L7:AN15" si="3">IF(L$5="Sun","WO","")</f>
        <v>WO</v>
      </c>
      <c r="M7" s="63" t="s">
        <v>42</v>
      </c>
      <c r="N7" s="63" t="s">
        <v>42</v>
      </c>
      <c r="O7" s="63" t="s">
        <v>42</v>
      </c>
      <c r="P7" s="63" t="s">
        <v>44</v>
      </c>
      <c r="Q7" s="63" t="s">
        <v>42</v>
      </c>
      <c r="R7" s="63" t="s">
        <v>42</v>
      </c>
      <c r="S7" s="66" t="str">
        <f t="shared" si="3"/>
        <v>WO</v>
      </c>
      <c r="T7" s="63" t="s">
        <v>42</v>
      </c>
      <c r="U7" s="63" t="s">
        <v>42</v>
      </c>
      <c r="V7" s="63" t="s">
        <v>42</v>
      </c>
      <c r="W7" s="63" t="s">
        <v>42</v>
      </c>
      <c r="X7" s="63" t="s">
        <v>44</v>
      </c>
      <c r="Y7" s="63" t="s">
        <v>42</v>
      </c>
      <c r="Z7" s="66" t="str">
        <f t="shared" si="3"/>
        <v>WO</v>
      </c>
      <c r="AA7" s="63" t="s">
        <v>42</v>
      </c>
      <c r="AB7" s="63" t="s">
        <v>42</v>
      </c>
      <c r="AC7" s="63" t="s">
        <v>42</v>
      </c>
      <c r="AD7" s="63" t="s">
        <v>42</v>
      </c>
      <c r="AE7" s="63" t="s">
        <v>44</v>
      </c>
      <c r="AF7" s="63" t="s">
        <v>42</v>
      </c>
      <c r="AG7" s="66" t="str">
        <f t="shared" si="3"/>
        <v>WO</v>
      </c>
      <c r="AH7" s="63" t="s">
        <v>42</v>
      </c>
      <c r="AI7" s="63" t="s">
        <v>42</v>
      </c>
      <c r="AJ7" s="63" t="s">
        <v>42</v>
      </c>
      <c r="AK7" s="63" t="s">
        <v>42</v>
      </c>
      <c r="AL7" s="63" t="s">
        <v>42</v>
      </c>
      <c r="AM7" s="63" t="s">
        <v>42</v>
      </c>
      <c r="AN7" s="67" t="str">
        <f t="shared" si="3"/>
        <v>WO</v>
      </c>
      <c r="AO7" s="39"/>
      <c r="AP7" s="28">
        <v>1</v>
      </c>
      <c r="AQ7" s="21">
        <v>1001</v>
      </c>
      <c r="AR7" s="33" t="str">
        <f t="shared" ref="AR7:AR26" si="4">$O$4</f>
        <v>August</v>
      </c>
      <c r="AS7" s="21" t="s">
        <v>3</v>
      </c>
      <c r="AT7" s="29">
        <f t="shared" ref="AT7:AT26" si="5">COUNTIF($J7:$AN7,"*P*")</f>
        <v>23</v>
      </c>
      <c r="AU7" s="29">
        <f t="shared" ref="AU7:AU26" si="6">COUNTIF($J7:$AN7,"*A*")</f>
        <v>0</v>
      </c>
      <c r="AV7" s="29">
        <f t="shared" ref="AV7:AV26" si="7">COUNTIF($J7:$AN7,"*L*")</f>
        <v>3</v>
      </c>
      <c r="AW7" s="29">
        <f t="shared" ref="AW7:AW26" si="8">I7</f>
        <v>5</v>
      </c>
      <c r="AX7" s="30">
        <f>$N$4</f>
        <v>31</v>
      </c>
      <c r="AY7" s="29">
        <f>AUGReport[[#This Row],[Days]]-AUGReport[[#This Row],[Adsent]]</f>
        <v>31</v>
      </c>
      <c r="AZ7" s="31">
        <v>10000</v>
      </c>
      <c r="BA7" s="32">
        <f>AUGReport[[#This Row],[Salary]]/AUGReport[[#This Row],[Days]]</f>
        <v>322.58064516129031</v>
      </c>
      <c r="BB7" s="31">
        <f>AUGReport[[#This Row],[Perday salary]]*AUGReport[[#This Row],[Adsent]]</f>
        <v>0</v>
      </c>
      <c r="BC7" s="31">
        <f>AUGReport[[#This Row],[Salary]]-AUGReport[[#This Row],[Detuction ]]</f>
        <v>10000</v>
      </c>
      <c r="BD7" s="29"/>
      <c r="BE7" s="39"/>
      <c r="BF7" s="37"/>
      <c r="BG7" s="37"/>
      <c r="BH7" s="37"/>
      <c r="BI7" s="37"/>
      <c r="BJ7" s="37"/>
      <c r="BK7" s="37"/>
    </row>
    <row r="8" spans="4:68" ht="15.6" x14ac:dyDescent="0.3">
      <c r="D8" s="37"/>
      <c r="E8" s="41"/>
      <c r="F8" s="20">
        <v>2</v>
      </c>
      <c r="G8" s="21">
        <v>1002</v>
      </c>
      <c r="H8" s="22" t="s">
        <v>4</v>
      </c>
      <c r="I8" s="61">
        <f t="shared" ref="I8:I26" si="9">COUNTIF($J$5:$AN$5,"SUN")</f>
        <v>5</v>
      </c>
      <c r="J8" s="64" t="s">
        <v>42</v>
      </c>
      <c r="K8" s="64" t="s">
        <v>42</v>
      </c>
      <c r="L8" s="68" t="str">
        <f t="shared" si="3"/>
        <v>WO</v>
      </c>
      <c r="M8" s="64" t="s">
        <v>42</v>
      </c>
      <c r="N8" s="64" t="s">
        <v>42</v>
      </c>
      <c r="O8" s="64" t="s">
        <v>42</v>
      </c>
      <c r="P8" s="64" t="s">
        <v>44</v>
      </c>
      <c r="Q8" s="64" t="s">
        <v>42</v>
      </c>
      <c r="R8" s="64" t="s">
        <v>42</v>
      </c>
      <c r="S8" s="68" t="str">
        <f t="shared" si="3"/>
        <v>WO</v>
      </c>
      <c r="T8" s="64" t="s">
        <v>42</v>
      </c>
      <c r="U8" s="64" t="s">
        <v>42</v>
      </c>
      <c r="V8" s="64" t="s">
        <v>42</v>
      </c>
      <c r="W8" s="64" t="s">
        <v>42</v>
      </c>
      <c r="X8" s="64" t="s">
        <v>44</v>
      </c>
      <c r="Y8" s="64" t="s">
        <v>42</v>
      </c>
      <c r="Z8" s="68" t="str">
        <f t="shared" si="3"/>
        <v>WO</v>
      </c>
      <c r="AA8" s="64" t="s">
        <v>42</v>
      </c>
      <c r="AB8" s="64" t="s">
        <v>42</v>
      </c>
      <c r="AC8" s="64" t="s">
        <v>42</v>
      </c>
      <c r="AD8" s="64" t="s">
        <v>42</v>
      </c>
      <c r="AE8" s="64" t="s">
        <v>44</v>
      </c>
      <c r="AF8" s="64" t="s">
        <v>42</v>
      </c>
      <c r="AG8" s="68" t="str">
        <f t="shared" si="3"/>
        <v>WO</v>
      </c>
      <c r="AH8" s="64" t="s">
        <v>42</v>
      </c>
      <c r="AI8" s="64" t="s">
        <v>42</v>
      </c>
      <c r="AJ8" s="64" t="s">
        <v>42</v>
      </c>
      <c r="AK8" s="64" t="s">
        <v>42</v>
      </c>
      <c r="AL8" s="64" t="s">
        <v>42</v>
      </c>
      <c r="AM8" s="64" t="s">
        <v>42</v>
      </c>
      <c r="AN8" s="69" t="str">
        <f t="shared" si="3"/>
        <v>WO</v>
      </c>
      <c r="AO8" s="39"/>
      <c r="AP8" s="28">
        <v>2</v>
      </c>
      <c r="AQ8" s="21">
        <v>1002</v>
      </c>
      <c r="AR8" s="33" t="str">
        <f t="shared" si="4"/>
        <v>August</v>
      </c>
      <c r="AS8" s="21" t="s">
        <v>4</v>
      </c>
      <c r="AT8" s="29">
        <f t="shared" si="5"/>
        <v>23</v>
      </c>
      <c r="AU8" s="29">
        <f t="shared" si="6"/>
        <v>0</v>
      </c>
      <c r="AV8" s="29">
        <f t="shared" si="7"/>
        <v>3</v>
      </c>
      <c r="AW8" s="29">
        <f t="shared" si="8"/>
        <v>5</v>
      </c>
      <c r="AX8" s="30">
        <f t="shared" ref="AX8:AX26" si="10">$N$4</f>
        <v>31</v>
      </c>
      <c r="AY8" s="29">
        <f>AUGReport[[#This Row],[Days]]-AUGReport[[#This Row],[Adsent]]</f>
        <v>31</v>
      </c>
      <c r="AZ8" s="31">
        <v>20000</v>
      </c>
      <c r="BA8" s="32">
        <f>AUGReport[[#This Row],[Salary]]/AUGReport[[#This Row],[Days]]</f>
        <v>645.16129032258061</v>
      </c>
      <c r="BB8" s="31">
        <f>AUGReport[[#This Row],[Perday salary]]*AUGReport[[#This Row],[Adsent]]</f>
        <v>0</v>
      </c>
      <c r="BC8" s="31">
        <f>AUGReport[[#This Row],[Salary]]-AUGReport[[#This Row],[Detuction ]]</f>
        <v>20000</v>
      </c>
      <c r="BD8" s="29"/>
      <c r="BE8" s="39"/>
      <c r="BF8" s="37"/>
      <c r="BG8" s="37"/>
      <c r="BH8" s="37"/>
      <c r="BI8" s="37"/>
      <c r="BJ8" s="37"/>
      <c r="BK8" s="37"/>
    </row>
    <row r="9" spans="4:68" ht="15.6" x14ac:dyDescent="0.3">
      <c r="D9" s="37"/>
      <c r="E9" s="41"/>
      <c r="F9" s="20">
        <v>3</v>
      </c>
      <c r="G9" s="21">
        <v>1003</v>
      </c>
      <c r="H9" s="22" t="s">
        <v>5</v>
      </c>
      <c r="I9" s="61">
        <f t="shared" si="9"/>
        <v>5</v>
      </c>
      <c r="J9" s="64" t="s">
        <v>42</v>
      </c>
      <c r="K9" s="64" t="s">
        <v>43</v>
      </c>
      <c r="L9" s="68" t="str">
        <f t="shared" si="3"/>
        <v>WO</v>
      </c>
      <c r="M9" s="64" t="s">
        <v>42</v>
      </c>
      <c r="N9" s="64" t="s">
        <v>42</v>
      </c>
      <c r="O9" s="64" t="s">
        <v>42</v>
      </c>
      <c r="P9" s="64" t="s">
        <v>44</v>
      </c>
      <c r="Q9" s="64" t="s">
        <v>42</v>
      </c>
      <c r="R9" s="64" t="s">
        <v>42</v>
      </c>
      <c r="S9" s="68" t="str">
        <f t="shared" si="3"/>
        <v>WO</v>
      </c>
      <c r="T9" s="64" t="s">
        <v>42</v>
      </c>
      <c r="U9" s="64" t="s">
        <v>42</v>
      </c>
      <c r="V9" s="64" t="s">
        <v>42</v>
      </c>
      <c r="W9" s="64" t="s">
        <v>42</v>
      </c>
      <c r="X9" s="64" t="s">
        <v>44</v>
      </c>
      <c r="Y9" s="64" t="s">
        <v>42</v>
      </c>
      <c r="Z9" s="68" t="str">
        <f t="shared" si="3"/>
        <v>WO</v>
      </c>
      <c r="AA9" s="64" t="s">
        <v>42</v>
      </c>
      <c r="AB9" s="64" t="s">
        <v>42</v>
      </c>
      <c r="AC9" s="64" t="s">
        <v>42</v>
      </c>
      <c r="AD9" s="64" t="s">
        <v>42</v>
      </c>
      <c r="AE9" s="64" t="s">
        <v>44</v>
      </c>
      <c r="AF9" s="64" t="s">
        <v>42</v>
      </c>
      <c r="AG9" s="68" t="str">
        <f t="shared" si="3"/>
        <v>WO</v>
      </c>
      <c r="AH9" s="64" t="s">
        <v>42</v>
      </c>
      <c r="AI9" s="64" t="s">
        <v>42</v>
      </c>
      <c r="AJ9" s="64" t="s">
        <v>42</v>
      </c>
      <c r="AK9" s="64" t="s">
        <v>42</v>
      </c>
      <c r="AL9" s="64" t="s">
        <v>42</v>
      </c>
      <c r="AM9" s="64" t="s">
        <v>42</v>
      </c>
      <c r="AN9" s="69" t="str">
        <f t="shared" si="3"/>
        <v>WO</v>
      </c>
      <c r="AO9" s="39"/>
      <c r="AP9" s="28">
        <v>3</v>
      </c>
      <c r="AQ9" s="21">
        <v>1003</v>
      </c>
      <c r="AR9" s="33" t="str">
        <f t="shared" si="4"/>
        <v>August</v>
      </c>
      <c r="AS9" s="21" t="s">
        <v>5</v>
      </c>
      <c r="AT9" s="29">
        <f t="shared" si="5"/>
        <v>22</v>
      </c>
      <c r="AU9" s="29">
        <f t="shared" si="6"/>
        <v>1</v>
      </c>
      <c r="AV9" s="29">
        <f t="shared" si="7"/>
        <v>3</v>
      </c>
      <c r="AW9" s="29">
        <f t="shared" si="8"/>
        <v>5</v>
      </c>
      <c r="AX9" s="30">
        <f t="shared" si="10"/>
        <v>31</v>
      </c>
      <c r="AY9" s="29">
        <f>AUGReport[[#This Row],[Days]]-AUGReport[[#This Row],[Adsent]]</f>
        <v>30</v>
      </c>
      <c r="AZ9" s="31">
        <v>25000</v>
      </c>
      <c r="BA9" s="32">
        <f>AUGReport[[#This Row],[Salary]]/AUGReport[[#This Row],[Days]]</f>
        <v>806.45161290322585</v>
      </c>
      <c r="BB9" s="31">
        <f>AUGReport[[#This Row],[Perday salary]]*AUGReport[[#This Row],[Adsent]]</f>
        <v>806.45161290322585</v>
      </c>
      <c r="BC9" s="31">
        <f>AUGReport[[#This Row],[Salary]]-AUGReport[[#This Row],[Detuction ]]</f>
        <v>24193.548387096773</v>
      </c>
      <c r="BD9" s="29"/>
      <c r="BE9" s="39"/>
      <c r="BF9" s="37"/>
      <c r="BG9" s="37"/>
      <c r="BH9" s="37"/>
      <c r="BI9" s="37"/>
      <c r="BJ9" s="37"/>
      <c r="BK9" s="37"/>
    </row>
    <row r="10" spans="4:68" ht="15.6" x14ac:dyDescent="0.3">
      <c r="D10" s="37"/>
      <c r="E10" s="41"/>
      <c r="F10" s="20">
        <v>4</v>
      </c>
      <c r="G10" s="21">
        <v>1004</v>
      </c>
      <c r="H10" s="22" t="s">
        <v>6</v>
      </c>
      <c r="I10" s="61">
        <f t="shared" si="9"/>
        <v>5</v>
      </c>
      <c r="J10" s="64" t="s">
        <v>42</v>
      </c>
      <c r="K10" s="64" t="s">
        <v>42</v>
      </c>
      <c r="L10" s="68" t="str">
        <f t="shared" si="3"/>
        <v>WO</v>
      </c>
      <c r="M10" s="64" t="s">
        <v>42</v>
      </c>
      <c r="N10" s="64" t="s">
        <v>42</v>
      </c>
      <c r="O10" s="64" t="s">
        <v>42</v>
      </c>
      <c r="P10" s="64" t="s">
        <v>44</v>
      </c>
      <c r="Q10" s="64" t="s">
        <v>42</v>
      </c>
      <c r="R10" s="64" t="s">
        <v>42</v>
      </c>
      <c r="S10" s="68" t="str">
        <f t="shared" si="3"/>
        <v>WO</v>
      </c>
      <c r="T10" s="64" t="s">
        <v>42</v>
      </c>
      <c r="U10" s="64" t="s">
        <v>42</v>
      </c>
      <c r="V10" s="64" t="s">
        <v>42</v>
      </c>
      <c r="W10" s="64" t="s">
        <v>42</v>
      </c>
      <c r="X10" s="64" t="s">
        <v>44</v>
      </c>
      <c r="Y10" s="64" t="s">
        <v>42</v>
      </c>
      <c r="Z10" s="68" t="str">
        <f t="shared" si="3"/>
        <v>WO</v>
      </c>
      <c r="AA10" s="64" t="s">
        <v>42</v>
      </c>
      <c r="AB10" s="64" t="s">
        <v>42</v>
      </c>
      <c r="AC10" s="64" t="s">
        <v>43</v>
      </c>
      <c r="AD10" s="64" t="s">
        <v>42</v>
      </c>
      <c r="AE10" s="64" t="s">
        <v>44</v>
      </c>
      <c r="AF10" s="64" t="s">
        <v>42</v>
      </c>
      <c r="AG10" s="68" t="str">
        <f t="shared" si="3"/>
        <v>WO</v>
      </c>
      <c r="AH10" s="64" t="s">
        <v>42</v>
      </c>
      <c r="AI10" s="64" t="s">
        <v>42</v>
      </c>
      <c r="AJ10" s="64" t="s">
        <v>42</v>
      </c>
      <c r="AK10" s="64" t="s">
        <v>42</v>
      </c>
      <c r="AL10" s="64" t="s">
        <v>42</v>
      </c>
      <c r="AM10" s="64" t="s">
        <v>42</v>
      </c>
      <c r="AN10" s="69" t="str">
        <f t="shared" si="3"/>
        <v>WO</v>
      </c>
      <c r="AO10" s="39"/>
      <c r="AP10" s="28">
        <v>4</v>
      </c>
      <c r="AQ10" s="21">
        <v>1004</v>
      </c>
      <c r="AR10" s="33" t="str">
        <f t="shared" si="4"/>
        <v>August</v>
      </c>
      <c r="AS10" s="21" t="s">
        <v>6</v>
      </c>
      <c r="AT10" s="29">
        <f t="shared" si="5"/>
        <v>22</v>
      </c>
      <c r="AU10" s="29">
        <f t="shared" si="6"/>
        <v>1</v>
      </c>
      <c r="AV10" s="29">
        <f t="shared" si="7"/>
        <v>3</v>
      </c>
      <c r="AW10" s="29">
        <f t="shared" si="8"/>
        <v>5</v>
      </c>
      <c r="AX10" s="30">
        <f t="shared" si="10"/>
        <v>31</v>
      </c>
      <c r="AY10" s="29">
        <f>AUGReport[[#This Row],[Days]]-AUGReport[[#This Row],[Adsent]]</f>
        <v>30</v>
      </c>
      <c r="AZ10" s="31">
        <v>30000</v>
      </c>
      <c r="BA10" s="32">
        <f>AUGReport[[#This Row],[Salary]]/AUGReport[[#This Row],[Days]]</f>
        <v>967.74193548387098</v>
      </c>
      <c r="BB10" s="31">
        <f>AUGReport[[#This Row],[Perday salary]]*AUGReport[[#This Row],[Adsent]]</f>
        <v>967.74193548387098</v>
      </c>
      <c r="BC10" s="31">
        <f>AUGReport[[#This Row],[Salary]]-AUGReport[[#This Row],[Detuction ]]</f>
        <v>29032.258064516129</v>
      </c>
      <c r="BD10" s="29"/>
      <c r="BE10" s="39"/>
      <c r="BF10" s="37"/>
      <c r="BG10" s="37"/>
      <c r="BH10" s="37"/>
      <c r="BI10" s="37"/>
      <c r="BJ10" s="37"/>
      <c r="BK10" s="37"/>
    </row>
    <row r="11" spans="4:68" ht="15.6" x14ac:dyDescent="0.3">
      <c r="D11" s="37"/>
      <c r="E11" s="41"/>
      <c r="F11" s="20">
        <v>5</v>
      </c>
      <c r="G11" s="21">
        <v>1005</v>
      </c>
      <c r="H11" s="22" t="s">
        <v>7</v>
      </c>
      <c r="I11" s="61">
        <f t="shared" si="9"/>
        <v>5</v>
      </c>
      <c r="J11" s="64" t="s">
        <v>42</v>
      </c>
      <c r="K11" s="64" t="s">
        <v>42</v>
      </c>
      <c r="L11" s="68" t="str">
        <f t="shared" si="3"/>
        <v>WO</v>
      </c>
      <c r="M11" s="64" t="s">
        <v>42</v>
      </c>
      <c r="N11" s="64" t="s">
        <v>42</v>
      </c>
      <c r="O11" s="64" t="s">
        <v>42</v>
      </c>
      <c r="P11" s="64" t="s">
        <v>44</v>
      </c>
      <c r="Q11" s="64" t="s">
        <v>42</v>
      </c>
      <c r="R11" s="64" t="s">
        <v>42</v>
      </c>
      <c r="S11" s="68" t="str">
        <f t="shared" si="3"/>
        <v>WO</v>
      </c>
      <c r="T11" s="64" t="s">
        <v>42</v>
      </c>
      <c r="U11" s="64" t="s">
        <v>42</v>
      </c>
      <c r="V11" s="64" t="s">
        <v>43</v>
      </c>
      <c r="W11" s="64" t="s">
        <v>42</v>
      </c>
      <c r="X11" s="64" t="s">
        <v>44</v>
      </c>
      <c r="Y11" s="64" t="s">
        <v>42</v>
      </c>
      <c r="Z11" s="68" t="str">
        <f t="shared" si="3"/>
        <v>WO</v>
      </c>
      <c r="AA11" s="64" t="s">
        <v>42</v>
      </c>
      <c r="AB11" s="64" t="s">
        <v>42</v>
      </c>
      <c r="AC11" s="64" t="s">
        <v>43</v>
      </c>
      <c r="AD11" s="64" t="s">
        <v>42</v>
      </c>
      <c r="AE11" s="64" t="s">
        <v>44</v>
      </c>
      <c r="AF11" s="64" t="s">
        <v>42</v>
      </c>
      <c r="AG11" s="68" t="str">
        <f t="shared" si="3"/>
        <v>WO</v>
      </c>
      <c r="AH11" s="64" t="s">
        <v>42</v>
      </c>
      <c r="AI11" s="64" t="s">
        <v>42</v>
      </c>
      <c r="AJ11" s="64" t="s">
        <v>43</v>
      </c>
      <c r="AK11" s="64" t="s">
        <v>42</v>
      </c>
      <c r="AL11" s="64" t="s">
        <v>42</v>
      </c>
      <c r="AM11" s="64" t="s">
        <v>42</v>
      </c>
      <c r="AN11" s="69" t="str">
        <f t="shared" si="3"/>
        <v>WO</v>
      </c>
      <c r="AO11" s="39"/>
      <c r="AP11" s="28">
        <v>5</v>
      </c>
      <c r="AQ11" s="21">
        <v>1005</v>
      </c>
      <c r="AR11" s="33" t="str">
        <f t="shared" si="4"/>
        <v>August</v>
      </c>
      <c r="AS11" s="21" t="s">
        <v>7</v>
      </c>
      <c r="AT11" s="29">
        <f t="shared" si="5"/>
        <v>20</v>
      </c>
      <c r="AU11" s="29">
        <f t="shared" si="6"/>
        <v>3</v>
      </c>
      <c r="AV11" s="29">
        <f t="shared" si="7"/>
        <v>3</v>
      </c>
      <c r="AW11" s="29">
        <f t="shared" si="8"/>
        <v>5</v>
      </c>
      <c r="AX11" s="30">
        <f t="shared" si="10"/>
        <v>31</v>
      </c>
      <c r="AY11" s="29">
        <f>AUGReport[[#This Row],[Days]]-AUGReport[[#This Row],[Adsent]]</f>
        <v>28</v>
      </c>
      <c r="AZ11" s="31">
        <v>45000</v>
      </c>
      <c r="BA11" s="32">
        <f>AUGReport[[#This Row],[Salary]]/AUGReport[[#This Row],[Days]]</f>
        <v>1451.6129032258063</v>
      </c>
      <c r="BB11" s="31">
        <f>AUGReport[[#This Row],[Perday salary]]*AUGReport[[#This Row],[Adsent]]</f>
        <v>4354.8387096774186</v>
      </c>
      <c r="BC11" s="31">
        <f>AUGReport[[#This Row],[Salary]]-AUGReport[[#This Row],[Detuction ]]</f>
        <v>40645.161290322583</v>
      </c>
      <c r="BD11" s="29"/>
      <c r="BE11" s="39"/>
      <c r="BF11" s="37"/>
      <c r="BG11" s="37"/>
      <c r="BH11" s="37"/>
      <c r="BI11" s="37"/>
      <c r="BJ11" s="37"/>
      <c r="BK11" s="37"/>
    </row>
    <row r="12" spans="4:68" ht="15.6" x14ac:dyDescent="0.3">
      <c r="D12" s="37"/>
      <c r="E12" s="41"/>
      <c r="F12" s="20">
        <v>6</v>
      </c>
      <c r="G12" s="21">
        <v>1006</v>
      </c>
      <c r="H12" s="22" t="s">
        <v>8</v>
      </c>
      <c r="I12" s="61">
        <f t="shared" si="9"/>
        <v>5</v>
      </c>
      <c r="J12" s="64" t="s">
        <v>42</v>
      </c>
      <c r="K12" s="64" t="s">
        <v>42</v>
      </c>
      <c r="L12" s="68" t="str">
        <f t="shared" si="3"/>
        <v>WO</v>
      </c>
      <c r="M12" s="64" t="s">
        <v>42</v>
      </c>
      <c r="N12" s="64" t="s">
        <v>43</v>
      </c>
      <c r="O12" s="64" t="s">
        <v>42</v>
      </c>
      <c r="P12" s="64" t="s">
        <v>44</v>
      </c>
      <c r="Q12" s="64" t="s">
        <v>42</v>
      </c>
      <c r="R12" s="64" t="s">
        <v>42</v>
      </c>
      <c r="S12" s="68" t="str">
        <f t="shared" si="3"/>
        <v>WO</v>
      </c>
      <c r="T12" s="64" t="s">
        <v>42</v>
      </c>
      <c r="U12" s="64" t="s">
        <v>42</v>
      </c>
      <c r="V12" s="64" t="s">
        <v>42</v>
      </c>
      <c r="W12" s="64" t="s">
        <v>42</v>
      </c>
      <c r="X12" s="64" t="s">
        <v>44</v>
      </c>
      <c r="Y12" s="64" t="s">
        <v>42</v>
      </c>
      <c r="Z12" s="68" t="str">
        <f t="shared" si="3"/>
        <v>WO</v>
      </c>
      <c r="AA12" s="64" t="s">
        <v>42</v>
      </c>
      <c r="AB12" s="64" t="s">
        <v>42</v>
      </c>
      <c r="AC12" s="64" t="s">
        <v>42</v>
      </c>
      <c r="AD12" s="64" t="s">
        <v>42</v>
      </c>
      <c r="AE12" s="64" t="s">
        <v>44</v>
      </c>
      <c r="AF12" s="64" t="s">
        <v>42</v>
      </c>
      <c r="AG12" s="68" t="str">
        <f t="shared" si="3"/>
        <v>WO</v>
      </c>
      <c r="AH12" s="64" t="s">
        <v>42</v>
      </c>
      <c r="AI12" s="64" t="s">
        <v>42</v>
      </c>
      <c r="AJ12" s="64" t="s">
        <v>42</v>
      </c>
      <c r="AK12" s="64" t="s">
        <v>42</v>
      </c>
      <c r="AL12" s="64" t="s">
        <v>42</v>
      </c>
      <c r="AM12" s="64" t="s">
        <v>42</v>
      </c>
      <c r="AN12" s="69" t="str">
        <f t="shared" si="3"/>
        <v>WO</v>
      </c>
      <c r="AO12" s="39"/>
      <c r="AP12" s="28">
        <v>6</v>
      </c>
      <c r="AQ12" s="21">
        <v>1006</v>
      </c>
      <c r="AR12" s="33" t="str">
        <f t="shared" si="4"/>
        <v>August</v>
      </c>
      <c r="AS12" s="21" t="s">
        <v>8</v>
      </c>
      <c r="AT12" s="29">
        <f t="shared" si="5"/>
        <v>22</v>
      </c>
      <c r="AU12" s="29">
        <f t="shared" si="6"/>
        <v>1</v>
      </c>
      <c r="AV12" s="29">
        <f t="shared" si="7"/>
        <v>3</v>
      </c>
      <c r="AW12" s="29">
        <f t="shared" si="8"/>
        <v>5</v>
      </c>
      <c r="AX12" s="30">
        <f t="shared" si="10"/>
        <v>31</v>
      </c>
      <c r="AY12" s="29">
        <f>AUGReport[[#This Row],[Days]]-AUGReport[[#This Row],[Adsent]]</f>
        <v>30</v>
      </c>
      <c r="AZ12" s="31">
        <v>15000</v>
      </c>
      <c r="BA12" s="32">
        <f>AUGReport[[#This Row],[Salary]]/AUGReport[[#This Row],[Days]]</f>
        <v>483.87096774193549</v>
      </c>
      <c r="BB12" s="31">
        <f>AUGReport[[#This Row],[Perday salary]]*AUGReport[[#This Row],[Adsent]]</f>
        <v>483.87096774193549</v>
      </c>
      <c r="BC12" s="31">
        <f>AUGReport[[#This Row],[Salary]]-AUGReport[[#This Row],[Detuction ]]</f>
        <v>14516.129032258064</v>
      </c>
      <c r="BD12" s="29"/>
      <c r="BE12" s="39"/>
      <c r="BF12" s="37"/>
      <c r="BG12" s="37"/>
      <c r="BH12" s="37"/>
      <c r="BI12" s="37"/>
      <c r="BJ12" s="37"/>
      <c r="BK12" s="37"/>
    </row>
    <row r="13" spans="4:68" ht="15.6" x14ac:dyDescent="0.3">
      <c r="D13" s="37"/>
      <c r="E13" s="41"/>
      <c r="F13" s="20">
        <v>7</v>
      </c>
      <c r="G13" s="21">
        <v>1007</v>
      </c>
      <c r="H13" s="22" t="s">
        <v>9</v>
      </c>
      <c r="I13" s="61">
        <f t="shared" si="9"/>
        <v>5</v>
      </c>
      <c r="J13" s="64" t="s">
        <v>42</v>
      </c>
      <c r="K13" s="64" t="s">
        <v>42</v>
      </c>
      <c r="L13" s="68" t="str">
        <f t="shared" si="3"/>
        <v>WO</v>
      </c>
      <c r="M13" s="64" t="s">
        <v>42</v>
      </c>
      <c r="N13" s="64" t="s">
        <v>42</v>
      </c>
      <c r="O13" s="64" t="s">
        <v>42</v>
      </c>
      <c r="P13" s="64" t="s">
        <v>44</v>
      </c>
      <c r="Q13" s="64" t="s">
        <v>42</v>
      </c>
      <c r="R13" s="64" t="s">
        <v>42</v>
      </c>
      <c r="S13" s="68" t="str">
        <f t="shared" si="3"/>
        <v>WO</v>
      </c>
      <c r="T13" s="64" t="s">
        <v>42</v>
      </c>
      <c r="U13" s="64" t="s">
        <v>42</v>
      </c>
      <c r="V13" s="64" t="s">
        <v>42</v>
      </c>
      <c r="W13" s="64" t="s">
        <v>42</v>
      </c>
      <c r="X13" s="64" t="s">
        <v>44</v>
      </c>
      <c r="Y13" s="64" t="s">
        <v>42</v>
      </c>
      <c r="Z13" s="68" t="str">
        <f t="shared" si="3"/>
        <v>WO</v>
      </c>
      <c r="AA13" s="64" t="s">
        <v>42</v>
      </c>
      <c r="AB13" s="64" t="s">
        <v>42</v>
      </c>
      <c r="AC13" s="64" t="s">
        <v>42</v>
      </c>
      <c r="AD13" s="64" t="s">
        <v>42</v>
      </c>
      <c r="AE13" s="64" t="s">
        <v>44</v>
      </c>
      <c r="AF13" s="64" t="s">
        <v>42</v>
      </c>
      <c r="AG13" s="68" t="str">
        <f t="shared" si="3"/>
        <v>WO</v>
      </c>
      <c r="AH13" s="64" t="s">
        <v>42</v>
      </c>
      <c r="AI13" s="64" t="s">
        <v>42</v>
      </c>
      <c r="AJ13" s="64" t="s">
        <v>42</v>
      </c>
      <c r="AK13" s="64" t="s">
        <v>42</v>
      </c>
      <c r="AL13" s="64" t="s">
        <v>42</v>
      </c>
      <c r="AM13" s="64" t="s">
        <v>42</v>
      </c>
      <c r="AN13" s="69" t="str">
        <f t="shared" si="3"/>
        <v>WO</v>
      </c>
      <c r="AO13" s="39"/>
      <c r="AP13" s="28">
        <v>7</v>
      </c>
      <c r="AQ13" s="21">
        <v>1007</v>
      </c>
      <c r="AR13" s="33" t="str">
        <f t="shared" si="4"/>
        <v>August</v>
      </c>
      <c r="AS13" s="21" t="s">
        <v>9</v>
      </c>
      <c r="AT13" s="29">
        <f t="shared" si="5"/>
        <v>23</v>
      </c>
      <c r="AU13" s="29">
        <f t="shared" si="6"/>
        <v>0</v>
      </c>
      <c r="AV13" s="29">
        <f t="shared" si="7"/>
        <v>3</v>
      </c>
      <c r="AW13" s="29">
        <f t="shared" si="8"/>
        <v>5</v>
      </c>
      <c r="AX13" s="30">
        <f t="shared" si="10"/>
        <v>31</v>
      </c>
      <c r="AY13" s="29">
        <f>AUGReport[[#This Row],[Days]]-AUGReport[[#This Row],[Adsent]]</f>
        <v>31</v>
      </c>
      <c r="AZ13" s="31">
        <v>62000</v>
      </c>
      <c r="BA13" s="32">
        <f>AUGReport[[#This Row],[Salary]]/AUGReport[[#This Row],[Days]]</f>
        <v>2000</v>
      </c>
      <c r="BB13" s="31">
        <f>AUGReport[[#This Row],[Perday salary]]*AUGReport[[#This Row],[Adsent]]</f>
        <v>0</v>
      </c>
      <c r="BC13" s="31">
        <f>AUGReport[[#This Row],[Salary]]-AUGReport[[#This Row],[Detuction ]]</f>
        <v>62000</v>
      </c>
      <c r="BD13" s="29"/>
      <c r="BE13" s="39"/>
      <c r="BF13" s="37"/>
      <c r="BG13" s="37"/>
      <c r="BH13" s="37"/>
      <c r="BI13" s="37"/>
      <c r="BJ13" s="37"/>
      <c r="BK13" s="37"/>
    </row>
    <row r="14" spans="4:68" ht="15.6" x14ac:dyDescent="0.3">
      <c r="D14" s="37"/>
      <c r="E14" s="41"/>
      <c r="F14" s="20">
        <v>8</v>
      </c>
      <c r="G14" s="21">
        <v>1008</v>
      </c>
      <c r="H14" s="22" t="s">
        <v>10</v>
      </c>
      <c r="I14" s="61">
        <f t="shared" si="9"/>
        <v>5</v>
      </c>
      <c r="J14" s="64" t="s">
        <v>42</v>
      </c>
      <c r="K14" s="64" t="s">
        <v>42</v>
      </c>
      <c r="L14" s="68" t="str">
        <f t="shared" si="3"/>
        <v>WO</v>
      </c>
      <c r="M14" s="64" t="s">
        <v>42</v>
      </c>
      <c r="N14" s="64" t="s">
        <v>42</v>
      </c>
      <c r="O14" s="64" t="s">
        <v>42</v>
      </c>
      <c r="P14" s="64" t="s">
        <v>44</v>
      </c>
      <c r="Q14" s="64" t="s">
        <v>42</v>
      </c>
      <c r="R14" s="64" t="s">
        <v>42</v>
      </c>
      <c r="S14" s="68" t="str">
        <f t="shared" si="3"/>
        <v>WO</v>
      </c>
      <c r="T14" s="64" t="s">
        <v>42</v>
      </c>
      <c r="U14" s="64" t="s">
        <v>42</v>
      </c>
      <c r="V14" s="64" t="s">
        <v>42</v>
      </c>
      <c r="W14" s="64" t="s">
        <v>42</v>
      </c>
      <c r="X14" s="64" t="s">
        <v>44</v>
      </c>
      <c r="Y14" s="64" t="s">
        <v>42</v>
      </c>
      <c r="Z14" s="68" t="str">
        <f t="shared" si="3"/>
        <v>WO</v>
      </c>
      <c r="AA14" s="64" t="s">
        <v>42</v>
      </c>
      <c r="AB14" s="64" t="s">
        <v>42</v>
      </c>
      <c r="AC14" s="64" t="s">
        <v>42</v>
      </c>
      <c r="AD14" s="64" t="s">
        <v>42</v>
      </c>
      <c r="AE14" s="64" t="s">
        <v>44</v>
      </c>
      <c r="AF14" s="64" t="s">
        <v>42</v>
      </c>
      <c r="AG14" s="68" t="str">
        <f t="shared" si="3"/>
        <v>WO</v>
      </c>
      <c r="AH14" s="64" t="s">
        <v>42</v>
      </c>
      <c r="AI14" s="64" t="s">
        <v>42</v>
      </c>
      <c r="AJ14" s="64" t="s">
        <v>42</v>
      </c>
      <c r="AK14" s="64" t="s">
        <v>42</v>
      </c>
      <c r="AL14" s="64" t="s">
        <v>42</v>
      </c>
      <c r="AM14" s="64" t="s">
        <v>42</v>
      </c>
      <c r="AN14" s="69" t="str">
        <f t="shared" si="3"/>
        <v>WO</v>
      </c>
      <c r="AO14" s="39"/>
      <c r="AP14" s="28">
        <v>8</v>
      </c>
      <c r="AQ14" s="21">
        <v>1008</v>
      </c>
      <c r="AR14" s="33" t="str">
        <f t="shared" si="4"/>
        <v>August</v>
      </c>
      <c r="AS14" s="21" t="s">
        <v>10</v>
      </c>
      <c r="AT14" s="29">
        <f t="shared" si="5"/>
        <v>23</v>
      </c>
      <c r="AU14" s="29">
        <f t="shared" si="6"/>
        <v>0</v>
      </c>
      <c r="AV14" s="29">
        <f t="shared" si="7"/>
        <v>3</v>
      </c>
      <c r="AW14" s="29">
        <f t="shared" si="8"/>
        <v>5</v>
      </c>
      <c r="AX14" s="30">
        <f t="shared" si="10"/>
        <v>31</v>
      </c>
      <c r="AY14" s="29">
        <f>AUGReport[[#This Row],[Days]]-AUGReport[[#This Row],[Adsent]]</f>
        <v>31</v>
      </c>
      <c r="AZ14" s="31">
        <v>50000</v>
      </c>
      <c r="BA14" s="32">
        <f>AUGReport[[#This Row],[Salary]]/AUGReport[[#This Row],[Days]]</f>
        <v>1612.9032258064517</v>
      </c>
      <c r="BB14" s="31">
        <f>AUGReport[[#This Row],[Perday salary]]*AUGReport[[#This Row],[Adsent]]</f>
        <v>0</v>
      </c>
      <c r="BC14" s="31">
        <f>AUGReport[[#This Row],[Salary]]-AUGReport[[#This Row],[Detuction ]]</f>
        <v>50000</v>
      </c>
      <c r="BD14" s="29"/>
      <c r="BE14" s="39"/>
      <c r="BF14" s="37"/>
      <c r="BG14" s="37"/>
      <c r="BH14" s="37"/>
      <c r="BI14" s="37"/>
      <c r="BJ14" s="37"/>
      <c r="BK14" s="37"/>
    </row>
    <row r="15" spans="4:68" ht="15.6" x14ac:dyDescent="0.3">
      <c r="D15" s="37"/>
      <c r="E15" s="41"/>
      <c r="F15" s="20">
        <v>9</v>
      </c>
      <c r="G15" s="21">
        <v>1009</v>
      </c>
      <c r="H15" s="22" t="s">
        <v>11</v>
      </c>
      <c r="I15" s="61">
        <f t="shared" si="9"/>
        <v>5</v>
      </c>
      <c r="J15" s="64" t="s">
        <v>42</v>
      </c>
      <c r="K15" s="64" t="s">
        <v>43</v>
      </c>
      <c r="L15" s="68" t="str">
        <f t="shared" si="3"/>
        <v>WO</v>
      </c>
      <c r="M15" s="64" t="s">
        <v>42</v>
      </c>
      <c r="N15" s="64" t="s">
        <v>42</v>
      </c>
      <c r="O15" s="64" t="s">
        <v>42</v>
      </c>
      <c r="P15" s="64" t="s">
        <v>44</v>
      </c>
      <c r="Q15" s="64" t="s">
        <v>42</v>
      </c>
      <c r="R15" s="64" t="s">
        <v>42</v>
      </c>
      <c r="S15" s="68" t="str">
        <f t="shared" si="3"/>
        <v>WO</v>
      </c>
      <c r="T15" s="64" t="s">
        <v>42</v>
      </c>
      <c r="U15" s="64" t="s">
        <v>42</v>
      </c>
      <c r="V15" s="64" t="s">
        <v>42</v>
      </c>
      <c r="W15" s="64" t="s">
        <v>42</v>
      </c>
      <c r="X15" s="64" t="s">
        <v>44</v>
      </c>
      <c r="Y15" s="64" t="s">
        <v>42</v>
      </c>
      <c r="Z15" s="68" t="str">
        <f t="shared" si="3"/>
        <v>WO</v>
      </c>
      <c r="AA15" s="64" t="s">
        <v>42</v>
      </c>
      <c r="AB15" s="64" t="s">
        <v>42</v>
      </c>
      <c r="AC15" s="64" t="s">
        <v>42</v>
      </c>
      <c r="AD15" s="64" t="s">
        <v>42</v>
      </c>
      <c r="AE15" s="64" t="s">
        <v>44</v>
      </c>
      <c r="AF15" s="64" t="s">
        <v>42</v>
      </c>
      <c r="AG15" s="68" t="str">
        <f t="shared" ref="Z15:AN26" si="11">IF(AG$5="Sun","WO","")</f>
        <v>WO</v>
      </c>
      <c r="AH15" s="64" t="s">
        <v>42</v>
      </c>
      <c r="AI15" s="64" t="s">
        <v>42</v>
      </c>
      <c r="AJ15" s="64" t="s">
        <v>42</v>
      </c>
      <c r="AK15" s="64" t="s">
        <v>42</v>
      </c>
      <c r="AL15" s="64" t="s">
        <v>42</v>
      </c>
      <c r="AM15" s="64" t="s">
        <v>42</v>
      </c>
      <c r="AN15" s="69" t="str">
        <f t="shared" si="11"/>
        <v>WO</v>
      </c>
      <c r="AO15" s="39"/>
      <c r="AP15" s="28">
        <v>9</v>
      </c>
      <c r="AQ15" s="21">
        <v>1009</v>
      </c>
      <c r="AR15" s="33" t="str">
        <f t="shared" si="4"/>
        <v>August</v>
      </c>
      <c r="AS15" s="21" t="s">
        <v>11</v>
      </c>
      <c r="AT15" s="29">
        <f t="shared" si="5"/>
        <v>22</v>
      </c>
      <c r="AU15" s="29">
        <f t="shared" si="6"/>
        <v>1</v>
      </c>
      <c r="AV15" s="29">
        <f t="shared" si="7"/>
        <v>3</v>
      </c>
      <c r="AW15" s="29">
        <f t="shared" si="8"/>
        <v>5</v>
      </c>
      <c r="AX15" s="30">
        <f t="shared" si="10"/>
        <v>31</v>
      </c>
      <c r="AY15" s="29">
        <f>AUGReport[[#This Row],[Days]]-AUGReport[[#This Row],[Adsent]]</f>
        <v>30</v>
      </c>
      <c r="AZ15" s="31">
        <v>25000</v>
      </c>
      <c r="BA15" s="32">
        <f>AUGReport[[#This Row],[Salary]]/AUGReport[[#This Row],[Days]]</f>
        <v>806.45161290322585</v>
      </c>
      <c r="BB15" s="31">
        <f>AUGReport[[#This Row],[Perday salary]]*AUGReport[[#This Row],[Adsent]]</f>
        <v>806.45161290322585</v>
      </c>
      <c r="BC15" s="31">
        <f>AUGReport[[#This Row],[Salary]]-AUGReport[[#This Row],[Detuction ]]</f>
        <v>24193.548387096773</v>
      </c>
      <c r="BD15" s="29"/>
      <c r="BE15" s="39"/>
      <c r="BF15" s="37"/>
      <c r="BG15" s="37"/>
      <c r="BH15" s="37"/>
      <c r="BI15" s="37"/>
      <c r="BJ15" s="37"/>
      <c r="BK15" s="37"/>
    </row>
    <row r="16" spans="4:68" ht="15.6" x14ac:dyDescent="0.3">
      <c r="D16" s="37"/>
      <c r="E16" s="41"/>
      <c r="F16" s="20">
        <v>10</v>
      </c>
      <c r="G16" s="21">
        <v>1010</v>
      </c>
      <c r="H16" s="22" t="s">
        <v>12</v>
      </c>
      <c r="I16" s="61">
        <f t="shared" si="9"/>
        <v>5</v>
      </c>
      <c r="J16" s="64" t="s">
        <v>42</v>
      </c>
      <c r="K16" s="64" t="s">
        <v>42</v>
      </c>
      <c r="L16" s="68" t="str">
        <f t="shared" ref="L16:S26" si="12">IF(L$5="Sun","WO","")</f>
        <v>WO</v>
      </c>
      <c r="M16" s="64" t="s">
        <v>42</v>
      </c>
      <c r="N16" s="64" t="s">
        <v>42</v>
      </c>
      <c r="O16" s="64" t="s">
        <v>42</v>
      </c>
      <c r="P16" s="64" t="s">
        <v>44</v>
      </c>
      <c r="Q16" s="64" t="s">
        <v>42</v>
      </c>
      <c r="R16" s="64" t="s">
        <v>42</v>
      </c>
      <c r="S16" s="68" t="str">
        <f t="shared" si="12"/>
        <v>WO</v>
      </c>
      <c r="T16" s="64" t="s">
        <v>42</v>
      </c>
      <c r="U16" s="64" t="s">
        <v>42</v>
      </c>
      <c r="V16" s="64" t="s">
        <v>42</v>
      </c>
      <c r="W16" s="64" t="s">
        <v>42</v>
      </c>
      <c r="X16" s="64" t="s">
        <v>44</v>
      </c>
      <c r="Y16" s="64" t="s">
        <v>42</v>
      </c>
      <c r="Z16" s="68" t="str">
        <f t="shared" si="11"/>
        <v>WO</v>
      </c>
      <c r="AA16" s="64" t="s">
        <v>42</v>
      </c>
      <c r="AB16" s="64" t="s">
        <v>43</v>
      </c>
      <c r="AC16" s="64" t="s">
        <v>42</v>
      </c>
      <c r="AD16" s="64" t="s">
        <v>42</v>
      </c>
      <c r="AE16" s="64" t="s">
        <v>44</v>
      </c>
      <c r="AF16" s="64" t="s">
        <v>42</v>
      </c>
      <c r="AG16" s="68" t="str">
        <f t="shared" si="11"/>
        <v>WO</v>
      </c>
      <c r="AH16" s="64" t="s">
        <v>42</v>
      </c>
      <c r="AI16" s="64" t="s">
        <v>42</v>
      </c>
      <c r="AJ16" s="64" t="s">
        <v>42</v>
      </c>
      <c r="AK16" s="64" t="s">
        <v>43</v>
      </c>
      <c r="AL16" s="64" t="s">
        <v>42</v>
      </c>
      <c r="AM16" s="64" t="s">
        <v>42</v>
      </c>
      <c r="AN16" s="69" t="str">
        <f t="shared" si="11"/>
        <v>WO</v>
      </c>
      <c r="AO16" s="39"/>
      <c r="AP16" s="28">
        <v>10</v>
      </c>
      <c r="AQ16" s="21">
        <v>1010</v>
      </c>
      <c r="AR16" s="33" t="str">
        <f t="shared" si="4"/>
        <v>August</v>
      </c>
      <c r="AS16" s="21" t="s">
        <v>12</v>
      </c>
      <c r="AT16" s="29">
        <f t="shared" si="5"/>
        <v>21</v>
      </c>
      <c r="AU16" s="29">
        <f t="shared" si="6"/>
        <v>2</v>
      </c>
      <c r="AV16" s="29">
        <f t="shared" si="7"/>
        <v>3</v>
      </c>
      <c r="AW16" s="29">
        <f t="shared" si="8"/>
        <v>5</v>
      </c>
      <c r="AX16" s="30">
        <f t="shared" si="10"/>
        <v>31</v>
      </c>
      <c r="AY16" s="29">
        <f>AUGReport[[#This Row],[Days]]-AUGReport[[#This Row],[Adsent]]</f>
        <v>29</v>
      </c>
      <c r="AZ16" s="31">
        <v>45000</v>
      </c>
      <c r="BA16" s="32">
        <f>AUGReport[[#This Row],[Salary]]/AUGReport[[#This Row],[Days]]</f>
        <v>1451.6129032258063</v>
      </c>
      <c r="BB16" s="31">
        <f>AUGReport[[#This Row],[Perday salary]]*AUGReport[[#This Row],[Adsent]]</f>
        <v>2903.2258064516127</v>
      </c>
      <c r="BC16" s="31">
        <f>AUGReport[[#This Row],[Salary]]-AUGReport[[#This Row],[Detuction ]]</f>
        <v>42096.774193548386</v>
      </c>
      <c r="BD16" s="29"/>
      <c r="BE16" s="39"/>
      <c r="BF16" s="37"/>
      <c r="BG16" s="37"/>
      <c r="BH16" s="37"/>
      <c r="BI16" s="37"/>
      <c r="BJ16" s="37"/>
      <c r="BK16" s="37"/>
    </row>
    <row r="17" spans="1:63" ht="15.6" x14ac:dyDescent="0.3">
      <c r="D17" s="37"/>
      <c r="E17" s="41"/>
      <c r="F17" s="20">
        <v>11</v>
      </c>
      <c r="G17" s="21">
        <v>1011</v>
      </c>
      <c r="H17" s="22" t="s">
        <v>13</v>
      </c>
      <c r="I17" s="61">
        <f t="shared" si="9"/>
        <v>5</v>
      </c>
      <c r="J17" s="64" t="s">
        <v>42</v>
      </c>
      <c r="K17" s="64" t="s">
        <v>42</v>
      </c>
      <c r="L17" s="68" t="str">
        <f t="shared" si="12"/>
        <v>WO</v>
      </c>
      <c r="M17" s="64" t="s">
        <v>42</v>
      </c>
      <c r="N17" s="64" t="s">
        <v>43</v>
      </c>
      <c r="O17" s="64" t="s">
        <v>42</v>
      </c>
      <c r="P17" s="64" t="s">
        <v>44</v>
      </c>
      <c r="Q17" s="64" t="s">
        <v>42</v>
      </c>
      <c r="R17" s="64" t="s">
        <v>42</v>
      </c>
      <c r="S17" s="68" t="str">
        <f t="shared" si="12"/>
        <v>WO</v>
      </c>
      <c r="T17" s="64" t="s">
        <v>42</v>
      </c>
      <c r="U17" s="64" t="s">
        <v>42</v>
      </c>
      <c r="V17" s="64" t="s">
        <v>43</v>
      </c>
      <c r="W17" s="64" t="s">
        <v>42</v>
      </c>
      <c r="X17" s="64" t="s">
        <v>44</v>
      </c>
      <c r="Y17" s="64" t="s">
        <v>42</v>
      </c>
      <c r="Z17" s="68" t="str">
        <f t="shared" si="11"/>
        <v>WO</v>
      </c>
      <c r="AA17" s="64" t="s">
        <v>42</v>
      </c>
      <c r="AB17" s="64" t="s">
        <v>42</v>
      </c>
      <c r="AC17" s="64" t="s">
        <v>42</v>
      </c>
      <c r="AD17" s="64" t="s">
        <v>42</v>
      </c>
      <c r="AE17" s="64" t="s">
        <v>44</v>
      </c>
      <c r="AF17" s="64" t="s">
        <v>42</v>
      </c>
      <c r="AG17" s="68" t="str">
        <f t="shared" si="11"/>
        <v>WO</v>
      </c>
      <c r="AH17" s="64" t="s">
        <v>42</v>
      </c>
      <c r="AI17" s="64" t="s">
        <v>42</v>
      </c>
      <c r="AJ17" s="64" t="s">
        <v>42</v>
      </c>
      <c r="AK17" s="64" t="s">
        <v>43</v>
      </c>
      <c r="AL17" s="64" t="s">
        <v>42</v>
      </c>
      <c r="AM17" s="64" t="s">
        <v>42</v>
      </c>
      <c r="AN17" s="69" t="str">
        <f t="shared" si="11"/>
        <v>WO</v>
      </c>
      <c r="AO17" s="39"/>
      <c r="AP17" s="28">
        <v>11</v>
      </c>
      <c r="AQ17" s="21">
        <v>1011</v>
      </c>
      <c r="AR17" s="33" t="str">
        <f t="shared" si="4"/>
        <v>August</v>
      </c>
      <c r="AS17" s="21" t="s">
        <v>13</v>
      </c>
      <c r="AT17" s="29">
        <f t="shared" si="5"/>
        <v>20</v>
      </c>
      <c r="AU17" s="29">
        <f t="shared" si="6"/>
        <v>3</v>
      </c>
      <c r="AV17" s="29">
        <f t="shared" si="7"/>
        <v>3</v>
      </c>
      <c r="AW17" s="29">
        <f t="shared" si="8"/>
        <v>5</v>
      </c>
      <c r="AX17" s="30">
        <f t="shared" si="10"/>
        <v>31</v>
      </c>
      <c r="AY17" s="29">
        <f>AUGReport[[#This Row],[Days]]-AUGReport[[#This Row],[Adsent]]</f>
        <v>28</v>
      </c>
      <c r="AZ17" s="31">
        <v>48000</v>
      </c>
      <c r="BA17" s="32">
        <f>AUGReport[[#This Row],[Salary]]/AUGReport[[#This Row],[Days]]</f>
        <v>1548.3870967741937</v>
      </c>
      <c r="BB17" s="31">
        <f>AUGReport[[#This Row],[Perday salary]]*AUGReport[[#This Row],[Adsent]]</f>
        <v>4645.1612903225814</v>
      </c>
      <c r="BC17" s="31">
        <f>AUGReport[[#This Row],[Salary]]-AUGReport[[#This Row],[Detuction ]]</f>
        <v>43354.838709677417</v>
      </c>
      <c r="BD17" s="29"/>
      <c r="BE17" s="39"/>
      <c r="BF17" s="37"/>
      <c r="BG17" s="37"/>
      <c r="BH17" s="37"/>
      <c r="BI17" s="37"/>
      <c r="BJ17" s="37"/>
      <c r="BK17" s="37"/>
    </row>
    <row r="18" spans="1:63" ht="15.6" x14ac:dyDescent="0.3">
      <c r="D18" s="37"/>
      <c r="E18" s="41"/>
      <c r="F18" s="20">
        <v>12</v>
      </c>
      <c r="G18" s="21">
        <v>1012</v>
      </c>
      <c r="H18" s="22" t="s">
        <v>14</v>
      </c>
      <c r="I18" s="61">
        <f t="shared" si="9"/>
        <v>5</v>
      </c>
      <c r="J18" s="64" t="s">
        <v>42</v>
      </c>
      <c r="K18" s="64" t="s">
        <v>42</v>
      </c>
      <c r="L18" s="68" t="str">
        <f t="shared" si="12"/>
        <v>WO</v>
      </c>
      <c r="M18" s="64" t="s">
        <v>42</v>
      </c>
      <c r="N18" s="64" t="s">
        <v>42</v>
      </c>
      <c r="O18" s="64" t="s">
        <v>42</v>
      </c>
      <c r="P18" s="64" t="s">
        <v>44</v>
      </c>
      <c r="Q18" s="64" t="s">
        <v>42</v>
      </c>
      <c r="R18" s="64" t="s">
        <v>42</v>
      </c>
      <c r="S18" s="68" t="str">
        <f t="shared" si="12"/>
        <v>WO</v>
      </c>
      <c r="T18" s="64" t="s">
        <v>42</v>
      </c>
      <c r="U18" s="64" t="s">
        <v>42</v>
      </c>
      <c r="V18" s="64" t="s">
        <v>42</v>
      </c>
      <c r="W18" s="64" t="s">
        <v>42</v>
      </c>
      <c r="X18" s="64" t="s">
        <v>44</v>
      </c>
      <c r="Y18" s="64" t="s">
        <v>42</v>
      </c>
      <c r="Z18" s="68" t="str">
        <f t="shared" si="11"/>
        <v>WO</v>
      </c>
      <c r="AA18" s="64" t="s">
        <v>42</v>
      </c>
      <c r="AB18" s="64" t="s">
        <v>42</v>
      </c>
      <c r="AC18" s="64" t="s">
        <v>42</v>
      </c>
      <c r="AD18" s="64" t="s">
        <v>42</v>
      </c>
      <c r="AE18" s="64" t="s">
        <v>44</v>
      </c>
      <c r="AF18" s="64" t="s">
        <v>42</v>
      </c>
      <c r="AG18" s="68" t="str">
        <f t="shared" si="11"/>
        <v>WO</v>
      </c>
      <c r="AH18" s="64" t="s">
        <v>42</v>
      </c>
      <c r="AI18" s="64" t="s">
        <v>42</v>
      </c>
      <c r="AJ18" s="64" t="s">
        <v>42</v>
      </c>
      <c r="AK18" s="64" t="s">
        <v>42</v>
      </c>
      <c r="AL18" s="64" t="s">
        <v>42</v>
      </c>
      <c r="AM18" s="64" t="s">
        <v>42</v>
      </c>
      <c r="AN18" s="69" t="str">
        <f t="shared" si="11"/>
        <v>WO</v>
      </c>
      <c r="AO18" s="39"/>
      <c r="AP18" s="28">
        <v>12</v>
      </c>
      <c r="AQ18" s="21">
        <v>1012</v>
      </c>
      <c r="AR18" s="33" t="str">
        <f t="shared" si="4"/>
        <v>August</v>
      </c>
      <c r="AS18" s="21" t="s">
        <v>14</v>
      </c>
      <c r="AT18" s="29">
        <f t="shared" si="5"/>
        <v>23</v>
      </c>
      <c r="AU18" s="29">
        <f t="shared" si="6"/>
        <v>0</v>
      </c>
      <c r="AV18" s="29">
        <f t="shared" si="7"/>
        <v>3</v>
      </c>
      <c r="AW18" s="29">
        <f t="shared" si="8"/>
        <v>5</v>
      </c>
      <c r="AX18" s="30">
        <f t="shared" si="10"/>
        <v>31</v>
      </c>
      <c r="AY18" s="29">
        <f>AUGReport[[#This Row],[Days]]-AUGReport[[#This Row],[Adsent]]</f>
        <v>31</v>
      </c>
      <c r="AZ18" s="31">
        <v>52000</v>
      </c>
      <c r="BA18" s="32">
        <f>AUGReport[[#This Row],[Salary]]/AUGReport[[#This Row],[Days]]</f>
        <v>1677.4193548387098</v>
      </c>
      <c r="BB18" s="31">
        <f>AUGReport[[#This Row],[Perday salary]]*AUGReport[[#This Row],[Adsent]]</f>
        <v>0</v>
      </c>
      <c r="BC18" s="31">
        <f>AUGReport[[#This Row],[Salary]]-AUGReport[[#This Row],[Detuction ]]</f>
        <v>52000</v>
      </c>
      <c r="BD18" s="29"/>
      <c r="BE18" s="39"/>
      <c r="BF18" s="37"/>
      <c r="BG18" s="37"/>
      <c r="BH18" s="37"/>
      <c r="BI18" s="37"/>
      <c r="BJ18" s="37"/>
      <c r="BK18" s="37"/>
    </row>
    <row r="19" spans="1:63" ht="15.6" x14ac:dyDescent="0.3">
      <c r="D19" s="37"/>
      <c r="E19" s="41"/>
      <c r="F19" s="20">
        <v>13</v>
      </c>
      <c r="G19" s="21">
        <v>1013</v>
      </c>
      <c r="H19" s="22" t="s">
        <v>15</v>
      </c>
      <c r="I19" s="61">
        <f t="shared" si="9"/>
        <v>5</v>
      </c>
      <c r="J19" s="64" t="s">
        <v>42</v>
      </c>
      <c r="K19" s="64" t="s">
        <v>42</v>
      </c>
      <c r="L19" s="68" t="str">
        <f t="shared" si="12"/>
        <v>WO</v>
      </c>
      <c r="M19" s="64" t="s">
        <v>42</v>
      </c>
      <c r="N19" s="64" t="s">
        <v>42</v>
      </c>
      <c r="O19" s="64" t="s">
        <v>42</v>
      </c>
      <c r="P19" s="64" t="s">
        <v>44</v>
      </c>
      <c r="Q19" s="64" t="s">
        <v>42</v>
      </c>
      <c r="R19" s="64" t="s">
        <v>42</v>
      </c>
      <c r="S19" s="68" t="str">
        <f t="shared" si="12"/>
        <v>WO</v>
      </c>
      <c r="T19" s="64" t="s">
        <v>42</v>
      </c>
      <c r="U19" s="64" t="s">
        <v>42</v>
      </c>
      <c r="V19" s="64" t="s">
        <v>42</v>
      </c>
      <c r="W19" s="64" t="s">
        <v>42</v>
      </c>
      <c r="X19" s="64" t="s">
        <v>44</v>
      </c>
      <c r="Y19" s="64" t="s">
        <v>42</v>
      </c>
      <c r="Z19" s="68" t="str">
        <f t="shared" si="11"/>
        <v>WO</v>
      </c>
      <c r="AA19" s="64" t="s">
        <v>42</v>
      </c>
      <c r="AB19" s="64" t="s">
        <v>43</v>
      </c>
      <c r="AC19" s="64" t="s">
        <v>42</v>
      </c>
      <c r="AD19" s="64" t="s">
        <v>42</v>
      </c>
      <c r="AE19" s="64" t="s">
        <v>44</v>
      </c>
      <c r="AF19" s="64" t="s">
        <v>42</v>
      </c>
      <c r="AG19" s="68" t="str">
        <f t="shared" si="11"/>
        <v>WO</v>
      </c>
      <c r="AH19" s="64" t="s">
        <v>42</v>
      </c>
      <c r="AI19" s="64" t="s">
        <v>42</v>
      </c>
      <c r="AJ19" s="64" t="s">
        <v>42</v>
      </c>
      <c r="AK19" s="64" t="s">
        <v>42</v>
      </c>
      <c r="AL19" s="64" t="s">
        <v>42</v>
      </c>
      <c r="AM19" s="64" t="s">
        <v>42</v>
      </c>
      <c r="AN19" s="69" t="str">
        <f t="shared" si="11"/>
        <v>WO</v>
      </c>
      <c r="AO19" s="39"/>
      <c r="AP19" s="28">
        <v>13</v>
      </c>
      <c r="AQ19" s="21">
        <v>1013</v>
      </c>
      <c r="AR19" s="33" t="str">
        <f t="shared" si="4"/>
        <v>August</v>
      </c>
      <c r="AS19" s="21" t="s">
        <v>15</v>
      </c>
      <c r="AT19" s="29">
        <f t="shared" si="5"/>
        <v>22</v>
      </c>
      <c r="AU19" s="29">
        <f t="shared" si="6"/>
        <v>1</v>
      </c>
      <c r="AV19" s="29">
        <f t="shared" si="7"/>
        <v>3</v>
      </c>
      <c r="AW19" s="29">
        <f t="shared" si="8"/>
        <v>5</v>
      </c>
      <c r="AX19" s="30">
        <f t="shared" si="10"/>
        <v>31</v>
      </c>
      <c r="AY19" s="29">
        <f>AUGReport[[#This Row],[Days]]-AUGReport[[#This Row],[Adsent]]</f>
        <v>30</v>
      </c>
      <c r="AZ19" s="31">
        <v>42000</v>
      </c>
      <c r="BA19" s="32">
        <f>AUGReport[[#This Row],[Salary]]/AUGReport[[#This Row],[Days]]</f>
        <v>1354.8387096774193</v>
      </c>
      <c r="BB19" s="31">
        <f>AUGReport[[#This Row],[Perday salary]]*AUGReport[[#This Row],[Adsent]]</f>
        <v>1354.8387096774193</v>
      </c>
      <c r="BC19" s="31">
        <f>AUGReport[[#This Row],[Salary]]-AUGReport[[#This Row],[Detuction ]]</f>
        <v>40645.161290322583</v>
      </c>
      <c r="BD19" s="29"/>
      <c r="BE19" s="39"/>
      <c r="BF19" s="37"/>
      <c r="BG19" s="37"/>
      <c r="BH19" s="37"/>
      <c r="BI19" s="37"/>
      <c r="BJ19" s="37"/>
      <c r="BK19" s="37"/>
    </row>
    <row r="20" spans="1:63" ht="15.6" x14ac:dyDescent="0.3">
      <c r="D20" s="37"/>
      <c r="E20" s="41"/>
      <c r="F20" s="20">
        <v>14</v>
      </c>
      <c r="G20" s="21">
        <v>1014</v>
      </c>
      <c r="H20" s="22" t="s">
        <v>16</v>
      </c>
      <c r="I20" s="61">
        <f t="shared" si="9"/>
        <v>5</v>
      </c>
      <c r="J20" s="64" t="s">
        <v>42</v>
      </c>
      <c r="K20" s="64" t="s">
        <v>43</v>
      </c>
      <c r="L20" s="68" t="str">
        <f t="shared" si="12"/>
        <v>WO</v>
      </c>
      <c r="M20" s="64" t="s">
        <v>42</v>
      </c>
      <c r="N20" s="64" t="s">
        <v>42</v>
      </c>
      <c r="O20" s="64" t="s">
        <v>42</v>
      </c>
      <c r="P20" s="64" t="s">
        <v>44</v>
      </c>
      <c r="Q20" s="64" t="s">
        <v>42</v>
      </c>
      <c r="R20" s="64" t="s">
        <v>42</v>
      </c>
      <c r="S20" s="68" t="str">
        <f t="shared" si="12"/>
        <v>WO</v>
      </c>
      <c r="T20" s="64" t="s">
        <v>42</v>
      </c>
      <c r="U20" s="64" t="s">
        <v>42</v>
      </c>
      <c r="V20" s="64" t="s">
        <v>42</v>
      </c>
      <c r="W20" s="64" t="s">
        <v>42</v>
      </c>
      <c r="X20" s="64" t="s">
        <v>44</v>
      </c>
      <c r="Y20" s="64" t="s">
        <v>42</v>
      </c>
      <c r="Z20" s="68" t="str">
        <f t="shared" si="11"/>
        <v>WO</v>
      </c>
      <c r="AA20" s="64" t="s">
        <v>42</v>
      </c>
      <c r="AB20" s="64" t="s">
        <v>42</v>
      </c>
      <c r="AC20" s="64" t="s">
        <v>42</v>
      </c>
      <c r="AD20" s="64" t="s">
        <v>42</v>
      </c>
      <c r="AE20" s="64" t="s">
        <v>44</v>
      </c>
      <c r="AF20" s="64" t="s">
        <v>42</v>
      </c>
      <c r="AG20" s="68" t="str">
        <f t="shared" si="11"/>
        <v>WO</v>
      </c>
      <c r="AH20" s="64" t="s">
        <v>42</v>
      </c>
      <c r="AI20" s="64" t="s">
        <v>42</v>
      </c>
      <c r="AJ20" s="64" t="s">
        <v>42</v>
      </c>
      <c r="AK20" s="64" t="s">
        <v>42</v>
      </c>
      <c r="AL20" s="64" t="s">
        <v>42</v>
      </c>
      <c r="AM20" s="64" t="s">
        <v>42</v>
      </c>
      <c r="AN20" s="69" t="str">
        <f t="shared" si="11"/>
        <v>WO</v>
      </c>
      <c r="AO20" s="39"/>
      <c r="AP20" s="28">
        <v>14</v>
      </c>
      <c r="AQ20" s="21">
        <v>1014</v>
      </c>
      <c r="AR20" s="33" t="str">
        <f t="shared" si="4"/>
        <v>August</v>
      </c>
      <c r="AS20" s="21" t="s">
        <v>16</v>
      </c>
      <c r="AT20" s="29">
        <f t="shared" si="5"/>
        <v>22</v>
      </c>
      <c r="AU20" s="29">
        <f t="shared" si="6"/>
        <v>1</v>
      </c>
      <c r="AV20" s="29">
        <f t="shared" si="7"/>
        <v>3</v>
      </c>
      <c r="AW20" s="29">
        <f t="shared" si="8"/>
        <v>5</v>
      </c>
      <c r="AX20" s="30">
        <f t="shared" si="10"/>
        <v>31</v>
      </c>
      <c r="AY20" s="29">
        <f>AUGReport[[#This Row],[Days]]-AUGReport[[#This Row],[Adsent]]</f>
        <v>30</v>
      </c>
      <c r="AZ20" s="31">
        <v>15000</v>
      </c>
      <c r="BA20" s="32">
        <f>AUGReport[[#This Row],[Salary]]/AUGReport[[#This Row],[Days]]</f>
        <v>483.87096774193549</v>
      </c>
      <c r="BB20" s="31">
        <f>AUGReport[[#This Row],[Perday salary]]*AUGReport[[#This Row],[Adsent]]</f>
        <v>483.87096774193549</v>
      </c>
      <c r="BC20" s="31">
        <f>AUGReport[[#This Row],[Salary]]-AUGReport[[#This Row],[Detuction ]]</f>
        <v>14516.129032258064</v>
      </c>
      <c r="BD20" s="29"/>
      <c r="BE20" s="39"/>
      <c r="BF20" s="37"/>
      <c r="BG20" s="37"/>
      <c r="BH20" s="37"/>
      <c r="BI20" s="37"/>
      <c r="BJ20" s="37"/>
      <c r="BK20" s="37"/>
    </row>
    <row r="21" spans="1:63" ht="15.6" x14ac:dyDescent="0.3">
      <c r="D21" s="37"/>
      <c r="E21" s="41"/>
      <c r="F21" s="20">
        <v>15</v>
      </c>
      <c r="G21" s="21">
        <v>1015</v>
      </c>
      <c r="H21" s="22" t="s">
        <v>17</v>
      </c>
      <c r="I21" s="61">
        <f t="shared" si="9"/>
        <v>5</v>
      </c>
      <c r="J21" s="64" t="s">
        <v>42</v>
      </c>
      <c r="K21" s="64" t="s">
        <v>42</v>
      </c>
      <c r="L21" s="68" t="str">
        <f t="shared" si="12"/>
        <v>WO</v>
      </c>
      <c r="M21" s="64" t="s">
        <v>42</v>
      </c>
      <c r="N21" s="64" t="s">
        <v>42</v>
      </c>
      <c r="O21" s="64" t="s">
        <v>43</v>
      </c>
      <c r="P21" s="64" t="s">
        <v>44</v>
      </c>
      <c r="Q21" s="64" t="s">
        <v>42</v>
      </c>
      <c r="R21" s="64" t="s">
        <v>42</v>
      </c>
      <c r="S21" s="68" t="str">
        <f t="shared" si="12"/>
        <v>WO</v>
      </c>
      <c r="T21" s="64" t="s">
        <v>42</v>
      </c>
      <c r="U21" s="64" t="s">
        <v>42</v>
      </c>
      <c r="V21" s="64" t="s">
        <v>42</v>
      </c>
      <c r="W21" s="64" t="s">
        <v>42</v>
      </c>
      <c r="X21" s="64" t="s">
        <v>44</v>
      </c>
      <c r="Y21" s="64" t="s">
        <v>42</v>
      </c>
      <c r="Z21" s="68" t="str">
        <f t="shared" si="11"/>
        <v>WO</v>
      </c>
      <c r="AA21" s="64" t="s">
        <v>42</v>
      </c>
      <c r="AB21" s="64" t="s">
        <v>42</v>
      </c>
      <c r="AC21" s="64" t="s">
        <v>42</v>
      </c>
      <c r="AD21" s="64" t="s">
        <v>42</v>
      </c>
      <c r="AE21" s="64" t="s">
        <v>44</v>
      </c>
      <c r="AF21" s="64" t="s">
        <v>42</v>
      </c>
      <c r="AG21" s="68" t="str">
        <f t="shared" si="11"/>
        <v>WO</v>
      </c>
      <c r="AH21" s="64" t="s">
        <v>42</v>
      </c>
      <c r="AI21" s="64" t="s">
        <v>42</v>
      </c>
      <c r="AJ21" s="64" t="s">
        <v>42</v>
      </c>
      <c r="AK21" s="64" t="s">
        <v>42</v>
      </c>
      <c r="AL21" s="64" t="s">
        <v>42</v>
      </c>
      <c r="AM21" s="64" t="s">
        <v>42</v>
      </c>
      <c r="AN21" s="69" t="str">
        <f t="shared" si="11"/>
        <v>WO</v>
      </c>
      <c r="AO21" s="39"/>
      <c r="AP21" s="28">
        <v>15</v>
      </c>
      <c r="AQ21" s="21">
        <v>1015</v>
      </c>
      <c r="AR21" s="33" t="str">
        <f t="shared" si="4"/>
        <v>August</v>
      </c>
      <c r="AS21" s="21" t="s">
        <v>17</v>
      </c>
      <c r="AT21" s="29">
        <f t="shared" si="5"/>
        <v>22</v>
      </c>
      <c r="AU21" s="29">
        <f t="shared" si="6"/>
        <v>1</v>
      </c>
      <c r="AV21" s="29">
        <f t="shared" si="7"/>
        <v>3</v>
      </c>
      <c r="AW21" s="29">
        <f t="shared" si="8"/>
        <v>5</v>
      </c>
      <c r="AX21" s="30">
        <f t="shared" si="10"/>
        <v>31</v>
      </c>
      <c r="AY21" s="29">
        <f>AUGReport[[#This Row],[Days]]-AUGReport[[#This Row],[Adsent]]</f>
        <v>30</v>
      </c>
      <c r="AZ21" s="31">
        <v>46000</v>
      </c>
      <c r="BA21" s="32">
        <f>AUGReport[[#This Row],[Salary]]/AUGReport[[#This Row],[Days]]</f>
        <v>1483.8709677419354</v>
      </c>
      <c r="BB21" s="31">
        <f>AUGReport[[#This Row],[Perday salary]]*AUGReport[[#This Row],[Adsent]]</f>
        <v>1483.8709677419354</v>
      </c>
      <c r="BC21" s="31">
        <f>AUGReport[[#This Row],[Salary]]-AUGReport[[#This Row],[Detuction ]]</f>
        <v>44516.129032258068</v>
      </c>
      <c r="BD21" s="29"/>
      <c r="BE21" s="39"/>
      <c r="BF21" s="37"/>
      <c r="BG21" s="37"/>
      <c r="BH21" s="37"/>
      <c r="BI21" s="37"/>
      <c r="BJ21" s="37"/>
      <c r="BK21" s="37"/>
    </row>
    <row r="22" spans="1:63" ht="15.6" x14ac:dyDescent="0.3">
      <c r="D22" s="37"/>
      <c r="E22" s="41"/>
      <c r="F22" s="20">
        <v>16</v>
      </c>
      <c r="G22" s="21">
        <v>1016</v>
      </c>
      <c r="H22" s="22" t="s">
        <v>18</v>
      </c>
      <c r="I22" s="61">
        <f t="shared" si="9"/>
        <v>5</v>
      </c>
      <c r="J22" s="64" t="s">
        <v>42</v>
      </c>
      <c r="K22" s="64" t="s">
        <v>42</v>
      </c>
      <c r="L22" s="68" t="str">
        <f t="shared" si="12"/>
        <v>WO</v>
      </c>
      <c r="M22" s="64" t="s">
        <v>42</v>
      </c>
      <c r="N22" s="64" t="s">
        <v>42</v>
      </c>
      <c r="O22" s="64" t="s">
        <v>42</v>
      </c>
      <c r="P22" s="64" t="s">
        <v>44</v>
      </c>
      <c r="Q22" s="64" t="s">
        <v>42</v>
      </c>
      <c r="R22" s="64" t="s">
        <v>42</v>
      </c>
      <c r="S22" s="68" t="str">
        <f t="shared" si="12"/>
        <v>WO</v>
      </c>
      <c r="T22" s="64" t="s">
        <v>42</v>
      </c>
      <c r="U22" s="64" t="s">
        <v>43</v>
      </c>
      <c r="V22" s="64" t="s">
        <v>42</v>
      </c>
      <c r="W22" s="64" t="s">
        <v>42</v>
      </c>
      <c r="X22" s="64" t="s">
        <v>44</v>
      </c>
      <c r="Y22" s="64" t="s">
        <v>42</v>
      </c>
      <c r="Z22" s="68" t="str">
        <f t="shared" si="11"/>
        <v>WO</v>
      </c>
      <c r="AA22" s="64" t="s">
        <v>42</v>
      </c>
      <c r="AB22" s="64" t="s">
        <v>42</v>
      </c>
      <c r="AC22" s="64" t="s">
        <v>42</v>
      </c>
      <c r="AD22" s="64" t="s">
        <v>42</v>
      </c>
      <c r="AE22" s="64" t="s">
        <v>44</v>
      </c>
      <c r="AF22" s="64" t="s">
        <v>42</v>
      </c>
      <c r="AG22" s="68" t="str">
        <f t="shared" si="11"/>
        <v>WO</v>
      </c>
      <c r="AH22" s="64" t="s">
        <v>42</v>
      </c>
      <c r="AI22" s="64" t="s">
        <v>42</v>
      </c>
      <c r="AJ22" s="64" t="s">
        <v>42</v>
      </c>
      <c r="AK22" s="64" t="s">
        <v>42</v>
      </c>
      <c r="AL22" s="64" t="s">
        <v>42</v>
      </c>
      <c r="AM22" s="64" t="s">
        <v>42</v>
      </c>
      <c r="AN22" s="69" t="str">
        <f t="shared" si="11"/>
        <v>WO</v>
      </c>
      <c r="AO22" s="39"/>
      <c r="AP22" s="28">
        <v>16</v>
      </c>
      <c r="AQ22" s="21">
        <v>1016</v>
      </c>
      <c r="AR22" s="33" t="str">
        <f t="shared" si="4"/>
        <v>August</v>
      </c>
      <c r="AS22" s="21" t="s">
        <v>18</v>
      </c>
      <c r="AT22" s="29">
        <f t="shared" si="5"/>
        <v>22</v>
      </c>
      <c r="AU22" s="29">
        <f t="shared" si="6"/>
        <v>1</v>
      </c>
      <c r="AV22" s="29">
        <f t="shared" si="7"/>
        <v>3</v>
      </c>
      <c r="AW22" s="29">
        <f t="shared" si="8"/>
        <v>5</v>
      </c>
      <c r="AX22" s="30">
        <f t="shared" si="10"/>
        <v>31</v>
      </c>
      <c r="AY22" s="29">
        <f>AUGReport[[#This Row],[Days]]-AUGReport[[#This Row],[Adsent]]</f>
        <v>30</v>
      </c>
      <c r="AZ22" s="31">
        <v>52000</v>
      </c>
      <c r="BA22" s="32">
        <f>AUGReport[[#This Row],[Salary]]/AUGReport[[#This Row],[Days]]</f>
        <v>1677.4193548387098</v>
      </c>
      <c r="BB22" s="31">
        <f>AUGReport[[#This Row],[Perday salary]]*AUGReport[[#This Row],[Adsent]]</f>
        <v>1677.4193548387098</v>
      </c>
      <c r="BC22" s="31">
        <f>AUGReport[[#This Row],[Salary]]-AUGReport[[#This Row],[Detuction ]]</f>
        <v>50322.580645161288</v>
      </c>
      <c r="BD22" s="29"/>
      <c r="BE22" s="39"/>
      <c r="BF22" s="37"/>
      <c r="BG22" s="37"/>
      <c r="BH22" s="37"/>
      <c r="BI22" s="37"/>
      <c r="BJ22" s="37"/>
      <c r="BK22" s="37"/>
    </row>
    <row r="23" spans="1:63" ht="15.6" x14ac:dyDescent="0.3">
      <c r="D23" s="37"/>
      <c r="E23" s="41"/>
      <c r="F23" s="20">
        <v>17</v>
      </c>
      <c r="G23" s="21">
        <v>1017</v>
      </c>
      <c r="H23" s="22" t="s">
        <v>19</v>
      </c>
      <c r="I23" s="61">
        <f t="shared" si="9"/>
        <v>5</v>
      </c>
      <c r="J23" s="64" t="s">
        <v>42</v>
      </c>
      <c r="K23" s="64" t="s">
        <v>42</v>
      </c>
      <c r="L23" s="68" t="str">
        <f t="shared" si="12"/>
        <v>WO</v>
      </c>
      <c r="M23" s="64" t="s">
        <v>42</v>
      </c>
      <c r="N23" s="64" t="s">
        <v>42</v>
      </c>
      <c r="O23" s="64" t="s">
        <v>42</v>
      </c>
      <c r="P23" s="64" t="s">
        <v>44</v>
      </c>
      <c r="Q23" s="64" t="s">
        <v>42</v>
      </c>
      <c r="R23" s="64" t="s">
        <v>42</v>
      </c>
      <c r="S23" s="68" t="str">
        <f t="shared" si="12"/>
        <v>WO</v>
      </c>
      <c r="T23" s="64" t="s">
        <v>42</v>
      </c>
      <c r="U23" s="64" t="s">
        <v>42</v>
      </c>
      <c r="V23" s="64" t="s">
        <v>42</v>
      </c>
      <c r="W23" s="64" t="s">
        <v>42</v>
      </c>
      <c r="X23" s="64" t="s">
        <v>44</v>
      </c>
      <c r="Y23" s="64" t="s">
        <v>42</v>
      </c>
      <c r="Z23" s="68" t="str">
        <f t="shared" si="11"/>
        <v>WO</v>
      </c>
      <c r="AA23" s="64" t="s">
        <v>42</v>
      </c>
      <c r="AB23" s="64" t="s">
        <v>42</v>
      </c>
      <c r="AC23" s="64" t="s">
        <v>42</v>
      </c>
      <c r="AD23" s="64" t="s">
        <v>42</v>
      </c>
      <c r="AE23" s="64" t="s">
        <v>44</v>
      </c>
      <c r="AF23" s="64" t="s">
        <v>42</v>
      </c>
      <c r="AG23" s="68" t="str">
        <f t="shared" si="11"/>
        <v>WO</v>
      </c>
      <c r="AH23" s="64" t="s">
        <v>42</v>
      </c>
      <c r="AI23" s="64" t="s">
        <v>42</v>
      </c>
      <c r="AJ23" s="64" t="s">
        <v>42</v>
      </c>
      <c r="AK23" s="64" t="s">
        <v>42</v>
      </c>
      <c r="AL23" s="64" t="s">
        <v>42</v>
      </c>
      <c r="AM23" s="64" t="s">
        <v>42</v>
      </c>
      <c r="AN23" s="69" t="str">
        <f t="shared" si="11"/>
        <v>WO</v>
      </c>
      <c r="AO23" s="39"/>
      <c r="AP23" s="28">
        <v>17</v>
      </c>
      <c r="AQ23" s="21">
        <v>1017</v>
      </c>
      <c r="AR23" s="33" t="str">
        <f t="shared" si="4"/>
        <v>August</v>
      </c>
      <c r="AS23" s="21" t="s">
        <v>19</v>
      </c>
      <c r="AT23" s="29">
        <f t="shared" si="5"/>
        <v>23</v>
      </c>
      <c r="AU23" s="29">
        <f t="shared" si="6"/>
        <v>0</v>
      </c>
      <c r="AV23" s="29">
        <f t="shared" si="7"/>
        <v>3</v>
      </c>
      <c r="AW23" s="29">
        <f t="shared" si="8"/>
        <v>5</v>
      </c>
      <c r="AX23" s="30">
        <f t="shared" si="10"/>
        <v>31</v>
      </c>
      <c r="AY23" s="29">
        <f>AUGReport[[#This Row],[Days]]-AUGReport[[#This Row],[Adsent]]</f>
        <v>31</v>
      </c>
      <c r="AZ23" s="31">
        <v>42000</v>
      </c>
      <c r="BA23" s="32">
        <f>AUGReport[[#This Row],[Salary]]/AUGReport[[#This Row],[Days]]</f>
        <v>1354.8387096774193</v>
      </c>
      <c r="BB23" s="31">
        <f>AUGReport[[#This Row],[Perday salary]]*AUGReport[[#This Row],[Adsent]]</f>
        <v>0</v>
      </c>
      <c r="BC23" s="31">
        <f>AUGReport[[#This Row],[Salary]]-AUGReport[[#This Row],[Detuction ]]</f>
        <v>42000</v>
      </c>
      <c r="BD23" s="29"/>
      <c r="BE23" s="39"/>
      <c r="BF23" s="37"/>
      <c r="BG23" s="37"/>
      <c r="BH23" s="37"/>
      <c r="BI23" s="37"/>
      <c r="BJ23" s="37"/>
      <c r="BK23" s="37"/>
    </row>
    <row r="24" spans="1:63" ht="15.6" x14ac:dyDescent="0.3">
      <c r="D24" s="37"/>
      <c r="E24" s="41"/>
      <c r="F24" s="20">
        <v>18</v>
      </c>
      <c r="G24" s="21">
        <v>1018</v>
      </c>
      <c r="H24" s="22" t="s">
        <v>20</v>
      </c>
      <c r="I24" s="61">
        <f t="shared" si="9"/>
        <v>5</v>
      </c>
      <c r="J24" s="64" t="s">
        <v>42</v>
      </c>
      <c r="K24" s="64" t="s">
        <v>42</v>
      </c>
      <c r="L24" s="68" t="str">
        <f t="shared" si="12"/>
        <v>WO</v>
      </c>
      <c r="M24" s="64" t="s">
        <v>42</v>
      </c>
      <c r="N24" s="64" t="s">
        <v>42</v>
      </c>
      <c r="O24" s="64" t="s">
        <v>42</v>
      </c>
      <c r="P24" s="64" t="s">
        <v>44</v>
      </c>
      <c r="Q24" s="64" t="s">
        <v>42</v>
      </c>
      <c r="R24" s="64" t="s">
        <v>42</v>
      </c>
      <c r="S24" s="68" t="str">
        <f t="shared" si="12"/>
        <v>WO</v>
      </c>
      <c r="T24" s="64" t="s">
        <v>42</v>
      </c>
      <c r="U24" s="64" t="s">
        <v>42</v>
      </c>
      <c r="V24" s="64" t="s">
        <v>42</v>
      </c>
      <c r="W24" s="64" t="s">
        <v>42</v>
      </c>
      <c r="X24" s="64" t="s">
        <v>44</v>
      </c>
      <c r="Y24" s="64" t="s">
        <v>42</v>
      </c>
      <c r="Z24" s="68" t="str">
        <f t="shared" si="11"/>
        <v>WO</v>
      </c>
      <c r="AA24" s="64" t="s">
        <v>42</v>
      </c>
      <c r="AB24" s="64" t="s">
        <v>42</v>
      </c>
      <c r="AC24" s="64" t="s">
        <v>42</v>
      </c>
      <c r="AD24" s="64" t="s">
        <v>42</v>
      </c>
      <c r="AE24" s="64" t="s">
        <v>44</v>
      </c>
      <c r="AF24" s="64" t="s">
        <v>42</v>
      </c>
      <c r="AG24" s="68" t="str">
        <f t="shared" si="11"/>
        <v>WO</v>
      </c>
      <c r="AH24" s="64" t="s">
        <v>42</v>
      </c>
      <c r="AI24" s="64" t="s">
        <v>42</v>
      </c>
      <c r="AJ24" s="64" t="s">
        <v>42</v>
      </c>
      <c r="AK24" s="64" t="s">
        <v>42</v>
      </c>
      <c r="AL24" s="64" t="s">
        <v>42</v>
      </c>
      <c r="AM24" s="64" t="s">
        <v>42</v>
      </c>
      <c r="AN24" s="69" t="str">
        <f t="shared" si="11"/>
        <v>WO</v>
      </c>
      <c r="AO24" s="39"/>
      <c r="AP24" s="28">
        <v>18</v>
      </c>
      <c r="AQ24" s="21">
        <v>1018</v>
      </c>
      <c r="AR24" s="33" t="str">
        <f t="shared" si="4"/>
        <v>August</v>
      </c>
      <c r="AS24" s="21" t="s">
        <v>20</v>
      </c>
      <c r="AT24" s="29">
        <f t="shared" si="5"/>
        <v>23</v>
      </c>
      <c r="AU24" s="29">
        <f t="shared" si="6"/>
        <v>0</v>
      </c>
      <c r="AV24" s="29">
        <f t="shared" si="7"/>
        <v>3</v>
      </c>
      <c r="AW24" s="29">
        <f t="shared" si="8"/>
        <v>5</v>
      </c>
      <c r="AX24" s="30">
        <f t="shared" si="10"/>
        <v>31</v>
      </c>
      <c r="AY24" s="29">
        <f>AUGReport[[#This Row],[Days]]-AUGReport[[#This Row],[Adsent]]</f>
        <v>31</v>
      </c>
      <c r="AZ24" s="31">
        <v>62000</v>
      </c>
      <c r="BA24" s="32">
        <f>AUGReport[[#This Row],[Salary]]/AUGReport[[#This Row],[Days]]</f>
        <v>2000</v>
      </c>
      <c r="BB24" s="31">
        <f>AUGReport[[#This Row],[Perday salary]]*AUGReport[[#This Row],[Adsent]]</f>
        <v>0</v>
      </c>
      <c r="BC24" s="31">
        <f>AUGReport[[#This Row],[Salary]]-AUGReport[[#This Row],[Detuction ]]</f>
        <v>62000</v>
      </c>
      <c r="BD24" s="29"/>
      <c r="BE24" s="39"/>
      <c r="BF24" s="37"/>
      <c r="BG24" s="37"/>
      <c r="BH24" s="37"/>
      <c r="BI24" s="37"/>
      <c r="BJ24" s="37"/>
      <c r="BK24" s="37"/>
    </row>
    <row r="25" spans="1:63" ht="15.6" x14ac:dyDescent="0.3">
      <c r="D25" s="37"/>
      <c r="E25" s="41"/>
      <c r="F25" s="20">
        <v>19</v>
      </c>
      <c r="G25" s="21">
        <v>1019</v>
      </c>
      <c r="H25" s="22" t="s">
        <v>21</v>
      </c>
      <c r="I25" s="61">
        <f t="shared" si="9"/>
        <v>5</v>
      </c>
      <c r="J25" s="64" t="s">
        <v>42</v>
      </c>
      <c r="K25" s="64" t="s">
        <v>42</v>
      </c>
      <c r="L25" s="68" t="str">
        <f t="shared" si="12"/>
        <v>WO</v>
      </c>
      <c r="M25" s="64" t="s">
        <v>42</v>
      </c>
      <c r="N25" s="64" t="s">
        <v>42</v>
      </c>
      <c r="O25" s="64" t="s">
        <v>42</v>
      </c>
      <c r="P25" s="64" t="s">
        <v>44</v>
      </c>
      <c r="Q25" s="64" t="s">
        <v>42</v>
      </c>
      <c r="R25" s="64" t="s">
        <v>42</v>
      </c>
      <c r="S25" s="68" t="str">
        <f t="shared" si="12"/>
        <v>WO</v>
      </c>
      <c r="T25" s="64" t="s">
        <v>42</v>
      </c>
      <c r="U25" s="64" t="s">
        <v>42</v>
      </c>
      <c r="V25" s="64" t="s">
        <v>42</v>
      </c>
      <c r="W25" s="64" t="s">
        <v>42</v>
      </c>
      <c r="X25" s="64" t="s">
        <v>44</v>
      </c>
      <c r="Y25" s="64" t="s">
        <v>42</v>
      </c>
      <c r="Z25" s="68" t="str">
        <f t="shared" si="11"/>
        <v>WO</v>
      </c>
      <c r="AA25" s="64" t="s">
        <v>42</v>
      </c>
      <c r="AB25" s="64" t="s">
        <v>42</v>
      </c>
      <c r="AC25" s="64" t="s">
        <v>42</v>
      </c>
      <c r="AD25" s="64" t="s">
        <v>42</v>
      </c>
      <c r="AE25" s="64" t="s">
        <v>44</v>
      </c>
      <c r="AF25" s="64" t="s">
        <v>42</v>
      </c>
      <c r="AG25" s="68" t="str">
        <f t="shared" si="11"/>
        <v>WO</v>
      </c>
      <c r="AH25" s="64" t="s">
        <v>42</v>
      </c>
      <c r="AI25" s="64" t="s">
        <v>42</v>
      </c>
      <c r="AJ25" s="64" t="s">
        <v>42</v>
      </c>
      <c r="AK25" s="64" t="s">
        <v>42</v>
      </c>
      <c r="AL25" s="64" t="s">
        <v>42</v>
      </c>
      <c r="AM25" s="64" t="s">
        <v>42</v>
      </c>
      <c r="AN25" s="69" t="str">
        <f t="shared" si="11"/>
        <v>WO</v>
      </c>
      <c r="AO25" s="39"/>
      <c r="AP25" s="28">
        <v>19</v>
      </c>
      <c r="AQ25" s="21">
        <v>1019</v>
      </c>
      <c r="AR25" s="33" t="str">
        <f t="shared" si="4"/>
        <v>August</v>
      </c>
      <c r="AS25" s="21" t="s">
        <v>21</v>
      </c>
      <c r="AT25" s="29">
        <f t="shared" si="5"/>
        <v>23</v>
      </c>
      <c r="AU25" s="29">
        <f t="shared" si="6"/>
        <v>0</v>
      </c>
      <c r="AV25" s="29">
        <f t="shared" si="7"/>
        <v>3</v>
      </c>
      <c r="AW25" s="29">
        <f t="shared" si="8"/>
        <v>5</v>
      </c>
      <c r="AX25" s="30">
        <f t="shared" si="10"/>
        <v>31</v>
      </c>
      <c r="AY25" s="29">
        <f>AUGReport[[#This Row],[Days]]-AUGReport[[#This Row],[Adsent]]</f>
        <v>31</v>
      </c>
      <c r="AZ25" s="31">
        <v>41000</v>
      </c>
      <c r="BA25" s="32">
        <f>AUGReport[[#This Row],[Salary]]/AUGReport[[#This Row],[Days]]</f>
        <v>1322.5806451612902</v>
      </c>
      <c r="BB25" s="31">
        <f>AUGReport[[#This Row],[Perday salary]]*AUGReport[[#This Row],[Adsent]]</f>
        <v>0</v>
      </c>
      <c r="BC25" s="31">
        <f>AUGReport[[#This Row],[Salary]]-AUGReport[[#This Row],[Detuction ]]</f>
        <v>41000</v>
      </c>
      <c r="BD25" s="29"/>
      <c r="BE25" s="39"/>
      <c r="BF25" s="37"/>
      <c r="BG25" s="37"/>
      <c r="BH25" s="37"/>
      <c r="BI25" s="37"/>
      <c r="BJ25" s="37"/>
      <c r="BK25" s="37"/>
    </row>
    <row r="26" spans="1:63" ht="16.2" thickBot="1" x14ac:dyDescent="0.35">
      <c r="D26" s="37"/>
      <c r="E26" s="41"/>
      <c r="F26" s="24">
        <v>20</v>
      </c>
      <c r="G26" s="25">
        <v>1020</v>
      </c>
      <c r="H26" s="26" t="s">
        <v>22</v>
      </c>
      <c r="I26" s="62">
        <f t="shared" si="9"/>
        <v>5</v>
      </c>
      <c r="J26" s="65" t="s">
        <v>42</v>
      </c>
      <c r="K26" s="65" t="s">
        <v>42</v>
      </c>
      <c r="L26" s="70" t="str">
        <f t="shared" si="12"/>
        <v>WO</v>
      </c>
      <c r="M26" s="65" t="s">
        <v>42</v>
      </c>
      <c r="N26" s="65" t="s">
        <v>42</v>
      </c>
      <c r="O26" s="65" t="s">
        <v>42</v>
      </c>
      <c r="P26" s="65" t="s">
        <v>44</v>
      </c>
      <c r="Q26" s="65" t="s">
        <v>42</v>
      </c>
      <c r="R26" s="65" t="s">
        <v>42</v>
      </c>
      <c r="S26" s="70" t="str">
        <f t="shared" si="12"/>
        <v>WO</v>
      </c>
      <c r="T26" s="65" t="s">
        <v>42</v>
      </c>
      <c r="U26" s="65" t="s">
        <v>42</v>
      </c>
      <c r="V26" s="65" t="s">
        <v>42</v>
      </c>
      <c r="W26" s="65" t="s">
        <v>42</v>
      </c>
      <c r="X26" s="65" t="s">
        <v>44</v>
      </c>
      <c r="Y26" s="65" t="s">
        <v>42</v>
      </c>
      <c r="Z26" s="70" t="str">
        <f t="shared" si="11"/>
        <v>WO</v>
      </c>
      <c r="AA26" s="65" t="s">
        <v>42</v>
      </c>
      <c r="AB26" s="65" t="s">
        <v>42</v>
      </c>
      <c r="AC26" s="65" t="s">
        <v>42</v>
      </c>
      <c r="AD26" s="65" t="s">
        <v>42</v>
      </c>
      <c r="AE26" s="65" t="s">
        <v>44</v>
      </c>
      <c r="AF26" s="65" t="s">
        <v>42</v>
      </c>
      <c r="AG26" s="70" t="str">
        <f t="shared" si="11"/>
        <v>WO</v>
      </c>
      <c r="AH26" s="65" t="s">
        <v>42</v>
      </c>
      <c r="AI26" s="65" t="s">
        <v>42</v>
      </c>
      <c r="AJ26" s="65" t="s">
        <v>42</v>
      </c>
      <c r="AK26" s="65" t="s">
        <v>42</v>
      </c>
      <c r="AL26" s="65" t="s">
        <v>42</v>
      </c>
      <c r="AM26" s="65" t="s">
        <v>42</v>
      </c>
      <c r="AN26" s="71" t="str">
        <f t="shared" si="11"/>
        <v>WO</v>
      </c>
      <c r="AO26" s="39"/>
      <c r="AP26" s="28">
        <v>20</v>
      </c>
      <c r="AQ26" s="21">
        <v>1020</v>
      </c>
      <c r="AR26" s="33" t="str">
        <f t="shared" si="4"/>
        <v>August</v>
      </c>
      <c r="AS26" s="21" t="s">
        <v>22</v>
      </c>
      <c r="AT26" s="29">
        <f t="shared" si="5"/>
        <v>23</v>
      </c>
      <c r="AU26" s="29">
        <f t="shared" si="6"/>
        <v>0</v>
      </c>
      <c r="AV26" s="29">
        <f t="shared" si="7"/>
        <v>3</v>
      </c>
      <c r="AW26" s="29">
        <f t="shared" si="8"/>
        <v>5</v>
      </c>
      <c r="AX26" s="30">
        <f t="shared" si="10"/>
        <v>31</v>
      </c>
      <c r="AY26" s="29">
        <f>AUGReport[[#This Row],[Days]]-AUGReport[[#This Row],[Adsent]]</f>
        <v>31</v>
      </c>
      <c r="AZ26" s="31">
        <v>30000</v>
      </c>
      <c r="BA26" s="32">
        <f>AUGReport[[#This Row],[Salary]]/AUGReport[[#This Row],[Days]]</f>
        <v>967.74193548387098</v>
      </c>
      <c r="BB26" s="31">
        <f>AUGReport[[#This Row],[Perday salary]]*AUGReport[[#This Row],[Adsent]]</f>
        <v>0</v>
      </c>
      <c r="BC26" s="31">
        <f>AUGReport[[#This Row],[Salary]]-AUGReport[[#This Row],[Detuction ]]</f>
        <v>30000</v>
      </c>
      <c r="BD26" s="29"/>
      <c r="BE26" s="39"/>
      <c r="BF26" s="37"/>
      <c r="BG26" s="37"/>
      <c r="BH26" s="37"/>
      <c r="BI26" s="37"/>
      <c r="BJ26" s="37"/>
      <c r="BK26" s="37"/>
    </row>
    <row r="27" spans="1:63" x14ac:dyDescent="0.3">
      <c r="D27" s="37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  <c r="AA27" s="41"/>
      <c r="AB27" s="41"/>
      <c r="AC27" s="41"/>
      <c r="AD27" s="41"/>
      <c r="AE27" s="41"/>
      <c r="AF27" s="41"/>
      <c r="AG27" s="41"/>
      <c r="AH27" s="41"/>
      <c r="AI27" s="41"/>
      <c r="AJ27" s="41"/>
      <c r="AK27" s="41"/>
      <c r="AL27" s="41"/>
      <c r="AM27" s="41"/>
      <c r="AN27" s="41"/>
      <c r="AO27" s="39"/>
      <c r="AP27" s="39"/>
      <c r="AQ27" s="39"/>
      <c r="AR27" s="39"/>
      <c r="AS27" s="39"/>
      <c r="AT27" s="39"/>
      <c r="AU27" s="39"/>
      <c r="AV27" s="39"/>
      <c r="AW27" s="39"/>
      <c r="AX27" s="39"/>
      <c r="AY27" s="39"/>
      <c r="AZ27" s="39"/>
      <c r="BA27" s="39"/>
      <c r="BB27" s="39"/>
      <c r="BC27" s="39"/>
      <c r="BD27" s="39"/>
      <c r="BE27" s="39"/>
      <c r="BF27" s="37"/>
      <c r="BG27" s="37"/>
      <c r="BH27" s="37"/>
      <c r="BI27" s="37"/>
      <c r="BJ27" s="37"/>
      <c r="BK27" s="37"/>
    </row>
    <row r="28" spans="1:63" x14ac:dyDescent="0.3"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  <c r="AA28" s="37"/>
      <c r="AB28" s="37"/>
      <c r="AC28" s="37"/>
      <c r="AD28" s="37"/>
      <c r="AE28" s="37"/>
      <c r="AF28" s="37"/>
      <c r="AG28" s="37"/>
      <c r="AH28" s="37"/>
      <c r="AI28" s="37"/>
      <c r="AJ28" s="37"/>
      <c r="AK28" s="37"/>
      <c r="AL28" s="37"/>
      <c r="AM28" s="37"/>
      <c r="AN28" s="37"/>
      <c r="AO28" s="37"/>
      <c r="AP28" s="37"/>
      <c r="AQ28" s="37"/>
      <c r="AR28" s="37"/>
      <c r="AS28" s="37"/>
      <c r="AT28" s="37"/>
      <c r="AU28" s="37"/>
      <c r="AV28" s="37"/>
      <c r="AW28" s="37"/>
      <c r="AX28" s="37"/>
      <c r="AY28" s="37"/>
      <c r="AZ28" s="37"/>
      <c r="BA28" s="37"/>
      <c r="BB28" s="37"/>
      <c r="BC28" s="37"/>
      <c r="BD28" s="37"/>
      <c r="BE28" s="37"/>
      <c r="BF28" s="37"/>
      <c r="BG28" s="37"/>
      <c r="BH28" s="37"/>
      <c r="BI28" s="37"/>
      <c r="BJ28" s="37"/>
      <c r="BK28" s="37"/>
    </row>
    <row r="29" spans="1:63" x14ac:dyDescent="0.3"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  <c r="AA29" s="37"/>
      <c r="AB29" s="37"/>
      <c r="AC29" s="37"/>
      <c r="AD29" s="37"/>
      <c r="AE29" s="37"/>
      <c r="AF29" s="37"/>
      <c r="AG29" s="37"/>
      <c r="AH29" s="37"/>
      <c r="AI29" s="37"/>
      <c r="AJ29" s="37"/>
      <c r="AK29" s="37"/>
      <c r="AL29" s="37"/>
      <c r="AM29" s="37"/>
      <c r="AN29" s="37"/>
      <c r="AO29" s="37"/>
      <c r="AP29" s="37"/>
      <c r="AQ29" s="37"/>
      <c r="AR29" s="37"/>
      <c r="AS29" s="37"/>
      <c r="AT29" s="37"/>
      <c r="AU29" s="37"/>
      <c r="AV29" s="37"/>
      <c r="AW29" s="37"/>
      <c r="AX29" s="37"/>
      <c r="AY29" s="37"/>
      <c r="AZ29" s="37"/>
      <c r="BA29" s="37"/>
      <c r="BB29" s="37"/>
      <c r="BC29" s="37"/>
      <c r="BD29" s="37"/>
      <c r="BE29" s="37"/>
      <c r="BF29" s="37"/>
      <c r="BG29" s="37"/>
      <c r="BH29" s="37"/>
      <c r="BI29" s="37"/>
      <c r="BJ29" s="37"/>
      <c r="BK29" s="37"/>
    </row>
    <row r="30" spans="1:63" x14ac:dyDescent="0.3">
      <c r="A30" s="37"/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  <c r="AA30" s="37"/>
      <c r="AB30" s="37"/>
      <c r="AC30" s="37"/>
      <c r="AD30" s="37"/>
      <c r="AE30" s="37"/>
      <c r="AF30" s="37"/>
      <c r="AG30" s="37"/>
      <c r="AH30" s="37"/>
      <c r="AI30" s="37"/>
      <c r="AJ30" s="37"/>
      <c r="AK30" s="37"/>
      <c r="AL30" s="37"/>
      <c r="AM30" s="37"/>
      <c r="AN30" s="37"/>
      <c r="AO30" s="37"/>
      <c r="AP30" s="37"/>
      <c r="AQ30" s="37"/>
      <c r="AR30" s="37"/>
      <c r="AS30" s="37"/>
      <c r="AT30" s="37"/>
      <c r="AU30" s="37"/>
      <c r="AV30" s="37"/>
      <c r="AW30" s="37"/>
      <c r="AX30" s="37"/>
      <c r="AY30" s="37"/>
      <c r="AZ30" s="37"/>
      <c r="BA30" s="37"/>
      <c r="BB30" s="37"/>
      <c r="BC30" s="37"/>
      <c r="BD30" s="37"/>
      <c r="BE30" s="37"/>
      <c r="BF30" s="37"/>
      <c r="BG30" s="37"/>
      <c r="BH30" s="37"/>
      <c r="BI30" s="37"/>
      <c r="BJ30" s="37"/>
      <c r="BK30" s="37"/>
    </row>
    <row r="31" spans="1:63" x14ac:dyDescent="0.3">
      <c r="A31" s="37"/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  <c r="AA31" s="37"/>
      <c r="AB31" s="37"/>
      <c r="AC31" s="37"/>
      <c r="AD31" s="37"/>
      <c r="AE31" s="37"/>
      <c r="AF31" s="37"/>
      <c r="AG31" s="37"/>
      <c r="AH31" s="37"/>
      <c r="AI31" s="37"/>
      <c r="AJ31" s="37"/>
      <c r="AK31" s="37"/>
      <c r="AL31" s="37"/>
      <c r="AM31" s="37"/>
      <c r="AN31" s="37"/>
      <c r="AO31" s="37"/>
      <c r="AP31" s="37"/>
      <c r="AQ31" s="37"/>
      <c r="AR31" s="37"/>
      <c r="AS31" s="37"/>
      <c r="AT31" s="37"/>
      <c r="AU31" s="37"/>
      <c r="AV31" s="37"/>
      <c r="AW31" s="37"/>
      <c r="AX31" s="37"/>
      <c r="AY31" s="37"/>
      <c r="AZ31" s="37"/>
      <c r="BA31" s="37"/>
      <c r="BB31" s="37"/>
      <c r="BC31" s="37"/>
      <c r="BD31" s="37"/>
      <c r="BE31" s="37"/>
      <c r="BF31" s="37"/>
      <c r="BG31" s="37"/>
      <c r="BH31" s="37"/>
      <c r="BI31" s="37"/>
      <c r="BJ31" s="37"/>
      <c r="BK31" s="37"/>
    </row>
    <row r="32" spans="1:63" x14ac:dyDescent="0.3">
      <c r="A32" s="37"/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  <c r="AA32" s="37"/>
      <c r="AB32" s="37"/>
      <c r="AC32" s="37"/>
      <c r="AD32" s="37"/>
      <c r="AE32" s="37"/>
      <c r="AF32" s="37"/>
      <c r="AG32" s="37"/>
      <c r="AH32" s="37"/>
      <c r="AI32" s="37"/>
      <c r="AJ32" s="37"/>
      <c r="AK32" s="37"/>
      <c r="AL32" s="37"/>
      <c r="AM32" s="37"/>
      <c r="AN32" s="37"/>
      <c r="AO32" s="37"/>
      <c r="AP32" s="37"/>
      <c r="AQ32" s="37"/>
      <c r="AR32" s="37"/>
      <c r="AS32" s="37"/>
      <c r="AT32" s="37"/>
      <c r="AU32" s="37"/>
      <c r="AV32" s="37"/>
      <c r="AW32" s="37"/>
      <c r="AX32" s="37"/>
      <c r="AY32" s="37"/>
      <c r="AZ32" s="37"/>
      <c r="BA32" s="37"/>
      <c r="BB32" s="37"/>
      <c r="BC32" s="37"/>
      <c r="BD32" s="37"/>
      <c r="BE32" s="37"/>
      <c r="BF32" s="37"/>
      <c r="BG32" s="37"/>
      <c r="BH32" s="37"/>
      <c r="BI32" s="37"/>
      <c r="BJ32" s="37"/>
      <c r="BK32" s="37"/>
    </row>
    <row r="33" spans="1:63" x14ac:dyDescent="0.3">
      <c r="A33" s="37"/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  <c r="AA33" s="37"/>
      <c r="AB33" s="37"/>
      <c r="AC33" s="37"/>
      <c r="AD33" s="37"/>
      <c r="AE33" s="37"/>
      <c r="AF33" s="37"/>
      <c r="AG33" s="37"/>
      <c r="AH33" s="37"/>
      <c r="AI33" s="37"/>
      <c r="AJ33" s="37"/>
      <c r="AK33" s="37"/>
      <c r="AL33" s="37"/>
      <c r="AM33" s="37"/>
      <c r="AN33" s="37"/>
      <c r="AO33" s="37"/>
      <c r="AP33" s="37"/>
      <c r="AQ33" s="37"/>
      <c r="AR33" s="37"/>
      <c r="AS33" s="37"/>
      <c r="AT33" s="37"/>
      <c r="AU33" s="37"/>
      <c r="AV33" s="37"/>
      <c r="AW33" s="37"/>
      <c r="AX33" s="37"/>
      <c r="AY33" s="37"/>
      <c r="AZ33" s="37"/>
      <c r="BA33" s="37"/>
      <c r="BB33" s="37"/>
      <c r="BC33" s="37"/>
      <c r="BD33" s="37"/>
      <c r="BE33" s="37"/>
      <c r="BF33" s="37"/>
      <c r="BG33" s="37"/>
      <c r="BH33" s="37"/>
      <c r="BI33" s="37"/>
      <c r="BJ33" s="37"/>
      <c r="BK33" s="37"/>
    </row>
    <row r="34" spans="1:63" x14ac:dyDescent="0.3">
      <c r="A34" s="37"/>
      <c r="B34" s="37"/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  <c r="AA34" s="37"/>
      <c r="AB34" s="37"/>
      <c r="AC34" s="37"/>
      <c r="AD34" s="37"/>
      <c r="AE34" s="37"/>
      <c r="AF34" s="37"/>
      <c r="AG34" s="37"/>
      <c r="AH34" s="37"/>
      <c r="AI34" s="37"/>
      <c r="AJ34" s="37"/>
      <c r="AK34" s="37"/>
      <c r="AL34" s="37"/>
      <c r="AM34" s="37"/>
      <c r="AN34" s="37"/>
      <c r="AO34" s="37"/>
      <c r="AP34" s="37"/>
      <c r="AQ34" s="37"/>
      <c r="AR34" s="37"/>
      <c r="AS34" s="37"/>
      <c r="AT34" s="37"/>
      <c r="AU34" s="37"/>
      <c r="AV34" s="37"/>
      <c r="AW34" s="37"/>
      <c r="AX34" s="37"/>
      <c r="AY34" s="37"/>
      <c r="AZ34" s="37"/>
      <c r="BA34" s="37"/>
      <c r="BB34" s="37"/>
      <c r="BC34" s="37"/>
      <c r="BD34" s="37"/>
      <c r="BE34" s="37"/>
      <c r="BF34" s="37"/>
      <c r="BG34" s="37"/>
      <c r="BH34" s="37"/>
      <c r="BI34" s="37"/>
      <c r="BJ34" s="37"/>
      <c r="BK34" s="37"/>
    </row>
    <row r="35" spans="1:63" x14ac:dyDescent="0.3">
      <c r="A35" s="37"/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  <c r="AA35" s="37"/>
      <c r="AB35" s="37"/>
      <c r="AC35" s="37"/>
      <c r="AD35" s="37"/>
      <c r="AE35" s="37"/>
      <c r="AF35" s="37"/>
      <c r="AG35" s="37"/>
      <c r="AH35" s="37"/>
      <c r="AI35" s="37"/>
      <c r="AJ35" s="37"/>
      <c r="AK35" s="37"/>
      <c r="AL35" s="37"/>
      <c r="AM35" s="37"/>
      <c r="AN35" s="37"/>
      <c r="AO35" s="37"/>
      <c r="AP35" s="37"/>
      <c r="AQ35" s="37"/>
      <c r="AR35" s="37"/>
      <c r="AS35" s="37"/>
      <c r="AT35" s="37"/>
      <c r="AU35" s="37"/>
      <c r="AV35" s="37"/>
      <c r="AW35" s="37"/>
      <c r="AX35" s="37"/>
      <c r="AY35" s="37"/>
      <c r="AZ35" s="37"/>
      <c r="BA35" s="37"/>
      <c r="BB35" s="37"/>
      <c r="BC35" s="37"/>
      <c r="BD35" s="37"/>
      <c r="BE35" s="37"/>
      <c r="BF35" s="37"/>
      <c r="BG35" s="37"/>
      <c r="BH35" s="37"/>
      <c r="BI35" s="37"/>
      <c r="BJ35" s="37"/>
      <c r="BK35" s="37"/>
    </row>
    <row r="36" spans="1:63" x14ac:dyDescent="0.3">
      <c r="A36" s="37"/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  <c r="AA36" s="37"/>
      <c r="AB36" s="37"/>
      <c r="AC36" s="37"/>
      <c r="AD36" s="37"/>
      <c r="AE36" s="37"/>
      <c r="AF36" s="37"/>
      <c r="AG36" s="37"/>
      <c r="AH36" s="37"/>
      <c r="AI36" s="37"/>
      <c r="AJ36" s="37"/>
      <c r="AK36" s="37"/>
      <c r="AL36" s="37"/>
      <c r="AM36" s="37"/>
      <c r="AN36" s="37"/>
      <c r="AO36" s="37"/>
      <c r="AP36" s="37"/>
      <c r="AQ36" s="37"/>
      <c r="AR36" s="37"/>
      <c r="AS36" s="37"/>
      <c r="AT36" s="37"/>
      <c r="AU36" s="37"/>
      <c r="AV36" s="37"/>
      <c r="AW36" s="37"/>
      <c r="AX36" s="37"/>
      <c r="AY36" s="37"/>
      <c r="AZ36" s="37"/>
      <c r="BA36" s="37"/>
      <c r="BB36" s="37"/>
      <c r="BC36" s="37"/>
      <c r="BD36" s="37"/>
      <c r="BE36" s="37"/>
      <c r="BF36" s="37"/>
      <c r="BG36" s="37"/>
      <c r="BH36" s="37"/>
      <c r="BI36" s="37"/>
      <c r="BJ36" s="37"/>
      <c r="BK36" s="37"/>
    </row>
    <row r="37" spans="1:63" x14ac:dyDescent="0.3">
      <c r="A37" s="37"/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37"/>
      <c r="AB37" s="37"/>
      <c r="AC37" s="37"/>
      <c r="AD37" s="37"/>
      <c r="AE37" s="37"/>
      <c r="AF37" s="37"/>
      <c r="AG37" s="37"/>
      <c r="AH37" s="37"/>
      <c r="AI37" s="37"/>
      <c r="AJ37" s="37"/>
      <c r="AK37" s="37"/>
      <c r="AL37" s="37"/>
      <c r="AM37" s="37"/>
      <c r="AN37" s="37"/>
      <c r="AO37" s="37"/>
      <c r="AP37" s="37"/>
      <c r="AQ37" s="37"/>
      <c r="AR37" s="37"/>
      <c r="AS37" s="37"/>
      <c r="AT37" s="37"/>
      <c r="AU37" s="37"/>
      <c r="AV37" s="37"/>
      <c r="AW37" s="37"/>
      <c r="AX37" s="37"/>
      <c r="AY37" s="37"/>
      <c r="AZ37" s="37"/>
      <c r="BA37" s="37"/>
      <c r="BB37" s="37"/>
      <c r="BC37" s="37"/>
      <c r="BD37" s="37"/>
      <c r="BE37" s="37"/>
      <c r="BF37" s="37"/>
      <c r="BG37" s="37"/>
      <c r="BH37" s="37"/>
      <c r="BI37" s="37"/>
      <c r="BJ37" s="37"/>
      <c r="BK37" s="37"/>
    </row>
    <row r="38" spans="1:63" x14ac:dyDescent="0.3">
      <c r="A38" s="37"/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  <c r="AA38" s="37"/>
      <c r="AB38" s="37"/>
      <c r="AC38" s="37"/>
      <c r="AD38" s="37"/>
      <c r="AE38" s="37"/>
      <c r="AF38" s="37"/>
      <c r="AG38" s="37"/>
      <c r="AH38" s="37"/>
      <c r="AI38" s="37"/>
      <c r="AJ38" s="37"/>
      <c r="AK38" s="37"/>
      <c r="AL38" s="37"/>
      <c r="AM38" s="37"/>
      <c r="AN38" s="37"/>
      <c r="AO38" s="37"/>
      <c r="AP38" s="37"/>
      <c r="AQ38" s="37"/>
      <c r="AR38" s="37"/>
      <c r="AS38" s="37"/>
      <c r="AT38" s="37"/>
      <c r="AU38" s="37"/>
      <c r="AV38" s="37"/>
      <c r="AW38" s="37"/>
      <c r="AX38" s="37"/>
      <c r="AY38" s="37"/>
      <c r="AZ38" s="37"/>
      <c r="BA38" s="37"/>
      <c r="BB38" s="37"/>
      <c r="BC38" s="37"/>
      <c r="BD38" s="37"/>
      <c r="BE38" s="37"/>
      <c r="BF38" s="37"/>
      <c r="BG38" s="37"/>
      <c r="BH38" s="37"/>
      <c r="BI38" s="37"/>
      <c r="BJ38" s="37"/>
      <c r="BK38" s="37"/>
    </row>
    <row r="39" spans="1:63" x14ac:dyDescent="0.3">
      <c r="A39" s="37"/>
      <c r="B39" s="37"/>
      <c r="C39" s="37"/>
      <c r="D39" s="37"/>
      <c r="E39" s="37"/>
      <c r="F39" s="37"/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  <c r="AA39" s="37"/>
      <c r="AB39" s="37"/>
      <c r="AC39" s="37"/>
      <c r="AD39" s="37"/>
      <c r="AE39" s="37"/>
      <c r="AF39" s="37"/>
      <c r="AG39" s="37"/>
      <c r="AH39" s="37"/>
      <c r="AI39" s="37"/>
      <c r="AJ39" s="37"/>
      <c r="AK39" s="37"/>
      <c r="AL39" s="37"/>
      <c r="AM39" s="37"/>
      <c r="AN39" s="37"/>
      <c r="AO39" s="37"/>
      <c r="AP39" s="37"/>
      <c r="AQ39" s="37"/>
      <c r="AR39" s="37"/>
      <c r="AS39" s="37"/>
      <c r="AT39" s="37"/>
      <c r="AU39" s="37"/>
      <c r="AV39" s="37"/>
      <c r="AW39" s="37"/>
      <c r="AX39" s="37"/>
      <c r="AY39" s="37"/>
      <c r="AZ39" s="37"/>
      <c r="BA39" s="37"/>
      <c r="BB39" s="37"/>
      <c r="BC39" s="37"/>
      <c r="BD39" s="37"/>
      <c r="BE39" s="37"/>
      <c r="BF39" s="37"/>
      <c r="BG39" s="37"/>
      <c r="BH39" s="37"/>
      <c r="BI39" s="37"/>
      <c r="BJ39" s="37"/>
      <c r="BK39" s="37"/>
    </row>
    <row r="40" spans="1:63" x14ac:dyDescent="0.3">
      <c r="A40" s="37"/>
      <c r="B40" s="37"/>
      <c r="C40" s="37"/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  <c r="AA40" s="37"/>
      <c r="AB40" s="37"/>
      <c r="AC40" s="37"/>
      <c r="AD40" s="37"/>
      <c r="AE40" s="37"/>
      <c r="AF40" s="37"/>
      <c r="AG40" s="37"/>
      <c r="AH40" s="37"/>
      <c r="AI40" s="37"/>
      <c r="AJ40" s="37"/>
      <c r="AK40" s="37"/>
      <c r="AL40" s="37"/>
      <c r="AM40" s="37"/>
      <c r="AN40" s="37"/>
      <c r="AO40" s="37"/>
      <c r="AP40" s="37"/>
      <c r="AQ40" s="37"/>
      <c r="AR40" s="37"/>
      <c r="AS40" s="37"/>
      <c r="AT40" s="37"/>
      <c r="AU40" s="37"/>
      <c r="AV40" s="37"/>
      <c r="AW40" s="37"/>
      <c r="AX40" s="37"/>
      <c r="AY40" s="37"/>
      <c r="AZ40" s="37"/>
      <c r="BA40" s="37"/>
      <c r="BB40" s="37"/>
      <c r="BC40" s="37"/>
      <c r="BD40" s="37"/>
      <c r="BE40" s="37"/>
      <c r="BF40" s="37"/>
      <c r="BG40" s="37"/>
      <c r="BH40" s="37"/>
      <c r="BI40" s="37"/>
      <c r="BJ40" s="37"/>
      <c r="BK40" s="37"/>
    </row>
    <row r="41" spans="1:63" x14ac:dyDescent="0.3">
      <c r="A41" s="37"/>
      <c r="B41" s="37"/>
      <c r="C41" s="37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  <c r="AA41" s="37"/>
      <c r="AB41" s="37"/>
      <c r="AC41" s="37"/>
      <c r="AD41" s="37"/>
      <c r="AE41" s="37"/>
      <c r="AF41" s="37"/>
      <c r="AG41" s="37"/>
      <c r="AH41" s="37"/>
      <c r="AI41" s="37"/>
      <c r="AJ41" s="37"/>
      <c r="AK41" s="37"/>
      <c r="AL41" s="37"/>
      <c r="AM41" s="37"/>
      <c r="AN41" s="37"/>
      <c r="AO41" s="37"/>
      <c r="AP41" s="37"/>
      <c r="AQ41" s="37"/>
      <c r="AR41" s="37"/>
      <c r="AS41" s="37"/>
      <c r="AT41" s="37"/>
      <c r="AU41" s="37"/>
      <c r="AV41" s="37"/>
      <c r="AW41" s="37"/>
      <c r="AX41" s="37"/>
      <c r="AY41" s="37"/>
      <c r="AZ41" s="37"/>
      <c r="BA41" s="37"/>
      <c r="BB41" s="37"/>
      <c r="BC41" s="37"/>
      <c r="BD41" s="37"/>
      <c r="BE41" s="37"/>
      <c r="BF41" s="37"/>
      <c r="BG41" s="37"/>
      <c r="BH41" s="37"/>
      <c r="BI41" s="37"/>
      <c r="BJ41" s="37"/>
      <c r="BK41" s="37"/>
    </row>
    <row r="42" spans="1:63" x14ac:dyDescent="0.3">
      <c r="A42" s="37"/>
      <c r="B42" s="37"/>
      <c r="C42" s="37"/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  <c r="AA42" s="37"/>
      <c r="AB42" s="37"/>
      <c r="AC42" s="37"/>
      <c r="AD42" s="37"/>
      <c r="AE42" s="37"/>
      <c r="AF42" s="37"/>
      <c r="AG42" s="37"/>
      <c r="AH42" s="37"/>
      <c r="AI42" s="37"/>
      <c r="AJ42" s="37"/>
      <c r="AK42" s="37"/>
      <c r="AL42" s="37"/>
      <c r="AM42" s="37"/>
      <c r="AN42" s="37"/>
      <c r="AO42" s="37"/>
      <c r="AP42" s="37"/>
      <c r="AQ42" s="37"/>
      <c r="AR42" s="37"/>
      <c r="AS42" s="37"/>
      <c r="AT42" s="37"/>
      <c r="AU42" s="37"/>
      <c r="AV42" s="37"/>
      <c r="AW42" s="37"/>
      <c r="AX42" s="37"/>
      <c r="AY42" s="37"/>
      <c r="AZ42" s="37"/>
      <c r="BA42" s="37"/>
      <c r="BB42" s="37"/>
      <c r="BC42" s="37"/>
      <c r="BD42" s="37"/>
      <c r="BE42" s="37"/>
      <c r="BF42" s="37"/>
      <c r="BG42" s="37"/>
      <c r="BH42" s="37"/>
      <c r="BI42" s="37"/>
      <c r="BJ42" s="37"/>
      <c r="BK42" s="37"/>
    </row>
    <row r="43" spans="1:63" x14ac:dyDescent="0.3">
      <c r="A43" s="37"/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  <c r="AA43" s="37"/>
      <c r="AB43" s="37"/>
      <c r="AC43" s="37"/>
      <c r="AD43" s="37"/>
      <c r="AE43" s="37"/>
      <c r="AF43" s="37"/>
      <c r="AG43" s="37"/>
      <c r="AH43" s="37"/>
      <c r="AI43" s="37"/>
      <c r="AJ43" s="37"/>
      <c r="AK43" s="37"/>
      <c r="AL43" s="37"/>
      <c r="AM43" s="37"/>
      <c r="AN43" s="37"/>
      <c r="AO43" s="37"/>
      <c r="AP43" s="37"/>
      <c r="AQ43" s="37"/>
      <c r="AR43" s="37"/>
      <c r="AS43" s="37"/>
      <c r="AT43" s="37"/>
      <c r="AU43" s="37"/>
      <c r="AV43" s="37"/>
      <c r="AW43" s="37"/>
      <c r="AX43" s="37"/>
      <c r="AY43" s="37"/>
      <c r="AZ43" s="37"/>
      <c r="BA43" s="37"/>
      <c r="BB43" s="37"/>
      <c r="BC43" s="37"/>
      <c r="BD43" s="37"/>
      <c r="BE43" s="37"/>
      <c r="BF43" s="37"/>
      <c r="BG43" s="37"/>
      <c r="BH43" s="37"/>
      <c r="BI43" s="37"/>
      <c r="BJ43" s="37"/>
      <c r="BK43" s="37"/>
    </row>
    <row r="44" spans="1:63" x14ac:dyDescent="0.3">
      <c r="A44" s="37"/>
      <c r="B44" s="37"/>
      <c r="C44" s="37"/>
      <c r="D44" s="37"/>
      <c r="E44" s="37"/>
      <c r="F44" s="37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  <c r="AA44" s="37"/>
      <c r="AB44" s="37"/>
      <c r="AC44" s="37"/>
      <c r="AD44" s="37"/>
      <c r="AE44" s="37"/>
      <c r="AF44" s="37"/>
      <c r="AG44" s="37"/>
      <c r="AH44" s="37"/>
      <c r="AI44" s="37"/>
      <c r="AJ44" s="37"/>
      <c r="AK44" s="37"/>
      <c r="AL44" s="37"/>
      <c r="AM44" s="37"/>
      <c r="AN44" s="37"/>
      <c r="AO44" s="37"/>
      <c r="AP44" s="37"/>
      <c r="AQ44" s="37"/>
      <c r="AR44" s="37"/>
      <c r="AS44" s="37"/>
      <c r="AT44" s="37"/>
      <c r="AU44" s="37"/>
      <c r="AV44" s="37"/>
      <c r="AW44" s="37"/>
      <c r="AX44" s="37"/>
      <c r="AY44" s="37"/>
      <c r="AZ44" s="37"/>
      <c r="BA44" s="37"/>
      <c r="BB44" s="37"/>
      <c r="BC44" s="37"/>
      <c r="BD44" s="37"/>
      <c r="BE44" s="37"/>
      <c r="BF44" s="37"/>
      <c r="BG44" s="37"/>
      <c r="BH44" s="37"/>
      <c r="BI44" s="37"/>
      <c r="BJ44" s="37"/>
      <c r="BK44" s="37"/>
    </row>
    <row r="45" spans="1:63" x14ac:dyDescent="0.3">
      <c r="A45" s="37"/>
      <c r="B45" s="37"/>
      <c r="C45" s="37"/>
      <c r="E45" s="37"/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  <c r="AA45" s="37"/>
      <c r="AB45" s="37"/>
      <c r="AC45" s="37"/>
      <c r="AD45" s="37"/>
      <c r="AE45" s="37"/>
      <c r="AF45" s="37"/>
      <c r="AG45" s="37"/>
      <c r="AH45" s="37"/>
      <c r="AI45" s="37"/>
      <c r="AJ45" s="37"/>
      <c r="AK45" s="37"/>
      <c r="AL45" s="37"/>
      <c r="AM45" s="37"/>
      <c r="AN45" s="37"/>
      <c r="AO45" s="37"/>
      <c r="AP45" s="37"/>
      <c r="AQ45" s="37"/>
      <c r="AR45" s="37"/>
      <c r="AS45" s="37"/>
      <c r="AT45" s="37"/>
      <c r="AU45" s="37"/>
      <c r="AV45" s="37"/>
      <c r="AW45" s="37"/>
      <c r="AX45" s="37"/>
      <c r="AY45" s="37"/>
      <c r="AZ45" s="37"/>
      <c r="BA45" s="37"/>
      <c r="BB45" s="37"/>
      <c r="BC45" s="37"/>
      <c r="BD45" s="37"/>
      <c r="BE45" s="37"/>
      <c r="BF45" s="37"/>
      <c r="BG45" s="37"/>
      <c r="BH45" s="37"/>
      <c r="BI45" s="37"/>
      <c r="BJ45" s="37"/>
      <c r="BK45" s="37"/>
    </row>
    <row r="46" spans="1:63" x14ac:dyDescent="0.3">
      <c r="A46" s="37"/>
      <c r="B46" s="37"/>
      <c r="C46" s="37"/>
      <c r="D46" s="37"/>
      <c r="E46" s="37"/>
      <c r="F46" s="37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  <c r="AA46" s="37"/>
      <c r="AB46" s="37"/>
      <c r="AC46" s="37"/>
      <c r="AD46" s="37"/>
      <c r="AE46" s="37"/>
      <c r="AF46" s="37"/>
      <c r="AG46" s="37"/>
      <c r="AH46" s="37"/>
      <c r="AI46" s="37"/>
      <c r="AJ46" s="37"/>
      <c r="AK46" s="37"/>
      <c r="AL46" s="37"/>
      <c r="AM46" s="37"/>
      <c r="AN46" s="37"/>
      <c r="AO46" s="37"/>
      <c r="AP46" s="37"/>
      <c r="AQ46" s="37"/>
      <c r="AR46" s="37"/>
      <c r="AS46" s="37"/>
      <c r="AT46" s="37"/>
      <c r="AU46" s="37"/>
      <c r="AV46" s="37"/>
      <c r="AW46" s="37"/>
      <c r="AX46" s="37"/>
      <c r="AY46" s="37"/>
      <c r="AZ46" s="37"/>
      <c r="BA46" s="37"/>
      <c r="BB46" s="37"/>
      <c r="BC46" s="37"/>
      <c r="BD46" s="37"/>
      <c r="BE46" s="37"/>
      <c r="BF46" s="37"/>
      <c r="BG46" s="37"/>
      <c r="BH46" s="37"/>
      <c r="BI46" s="37"/>
      <c r="BJ46" s="37"/>
      <c r="BK46" s="37"/>
    </row>
    <row r="47" spans="1:63" x14ac:dyDescent="0.3">
      <c r="A47" s="37"/>
      <c r="B47" s="37"/>
      <c r="C47" s="37"/>
      <c r="D47" s="37"/>
      <c r="E47" s="37"/>
      <c r="F47" s="37"/>
      <c r="G47" s="37"/>
      <c r="H47" s="37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  <c r="AA47" s="37"/>
      <c r="AB47" s="37"/>
      <c r="AC47" s="37"/>
      <c r="AD47" s="37"/>
      <c r="AE47" s="37"/>
      <c r="AF47" s="37"/>
      <c r="AG47" s="37"/>
      <c r="AH47" s="37"/>
      <c r="AI47" s="37"/>
      <c r="AJ47" s="37"/>
      <c r="AK47" s="37"/>
      <c r="AL47" s="37"/>
      <c r="AM47" s="37"/>
      <c r="AN47" s="37"/>
      <c r="AO47" s="37"/>
      <c r="AP47" s="37"/>
      <c r="AQ47" s="37"/>
      <c r="AR47" s="37"/>
      <c r="AS47" s="37"/>
      <c r="AT47" s="37"/>
      <c r="AU47" s="37"/>
      <c r="AV47" s="37"/>
      <c r="AW47" s="37"/>
      <c r="AX47" s="37"/>
      <c r="AY47" s="37"/>
      <c r="AZ47" s="37"/>
      <c r="BA47" s="37"/>
      <c r="BB47" s="37"/>
      <c r="BC47" s="37"/>
      <c r="BD47" s="37"/>
      <c r="BE47" s="37"/>
      <c r="BF47" s="37"/>
      <c r="BG47" s="37"/>
      <c r="BH47" s="37"/>
      <c r="BI47" s="37"/>
      <c r="BJ47" s="37"/>
      <c r="BK47" s="37"/>
    </row>
    <row r="48" spans="1:63" x14ac:dyDescent="0.3">
      <c r="A48" s="37"/>
      <c r="B48" s="37"/>
      <c r="C48" s="37"/>
      <c r="D48" s="37"/>
      <c r="E48" s="37"/>
      <c r="F48" s="37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  <c r="AA48" s="37"/>
      <c r="AB48" s="37"/>
      <c r="AC48" s="37"/>
      <c r="AD48" s="37"/>
      <c r="AE48" s="37"/>
      <c r="AF48" s="37"/>
      <c r="AG48" s="37"/>
      <c r="AH48" s="37"/>
      <c r="AI48" s="37"/>
      <c r="AJ48" s="37"/>
      <c r="AK48" s="37"/>
      <c r="AL48" s="37"/>
      <c r="AM48" s="37"/>
      <c r="AN48" s="37"/>
      <c r="AO48" s="37"/>
      <c r="AP48" s="37"/>
      <c r="AQ48" s="37"/>
      <c r="AR48" s="37"/>
      <c r="AS48" s="37"/>
      <c r="AT48" s="37"/>
      <c r="AU48" s="37"/>
      <c r="AV48" s="37"/>
      <c r="AW48" s="37"/>
      <c r="AX48" s="37"/>
      <c r="AY48" s="37"/>
      <c r="AZ48" s="37"/>
      <c r="BA48" s="37"/>
      <c r="BB48" s="37"/>
      <c r="BC48" s="37"/>
      <c r="BD48" s="37"/>
      <c r="BE48" s="37"/>
      <c r="BF48" s="37"/>
      <c r="BG48" s="37"/>
      <c r="BH48" s="37"/>
      <c r="BI48" s="37"/>
      <c r="BJ48" s="37"/>
      <c r="BK48" s="37"/>
    </row>
    <row r="49" spans="1:4" x14ac:dyDescent="0.3">
      <c r="A49" s="37"/>
      <c r="B49" s="37"/>
      <c r="C49" s="37"/>
      <c r="D49" s="37"/>
    </row>
  </sheetData>
  <mergeCells count="1">
    <mergeCell ref="F5:H5"/>
  </mergeCells>
  <conditionalFormatting sqref="J7:AN26">
    <cfRule type="containsText" dxfId="119" priority="1" operator="containsText" text="P">
      <formula>NOT(ISERROR(SEARCH("P",J7)))</formula>
    </cfRule>
    <cfRule type="containsText" dxfId="118" priority="2" operator="containsText" text="L">
      <formula>NOT(ISERROR(SEARCH("L",J7)))</formula>
    </cfRule>
    <cfRule type="containsText" dxfId="117" priority="3" operator="containsText" text="A">
      <formula>NOT(ISERROR(SEARCH("A",J7)))</formula>
    </cfRule>
    <cfRule type="containsText" dxfId="116" priority="4" operator="containsText" text="WO">
      <formula>NOT(ISERROR(SEARCH("WO",J7)))</formula>
    </cfRule>
    <cfRule type="containsText" dxfId="115" priority="5" operator="containsText" text="WO">
      <formula>NOT(ISERROR(SEARCH("WO",J7)))</formula>
    </cfRule>
  </conditionalFormatting>
  <dataValidations count="2">
    <dataValidation type="list" allowBlank="1" showInputMessage="1" showErrorMessage="1" sqref="J7:K26 M7:R26 T7:Y26 AA7:AF26 AH7:AM26">
      <formula1>"P,A,L"</formula1>
    </dataValidation>
    <dataValidation type="list" allowBlank="1" showInputMessage="1" showErrorMessage="1" sqref="H4">
      <formula1>#REF!</formula1>
    </dataValidation>
  </dataValidations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AUG!AT7:AW7</xm:f>
              <xm:sqref>BD7</xm:sqref>
            </x14:sparkline>
            <x14:sparkline>
              <xm:f>AUG!AT8:AW8</xm:f>
              <xm:sqref>BD8</xm:sqref>
            </x14:sparkline>
            <x14:sparkline>
              <xm:f>AUG!AT9:AW9</xm:f>
              <xm:sqref>BD9</xm:sqref>
            </x14:sparkline>
            <x14:sparkline>
              <xm:f>AUG!AT10:AW10</xm:f>
              <xm:sqref>BD10</xm:sqref>
            </x14:sparkline>
            <x14:sparkline>
              <xm:f>AUG!AT11:AW11</xm:f>
              <xm:sqref>BD11</xm:sqref>
            </x14:sparkline>
            <x14:sparkline>
              <xm:f>AUG!AT12:AW12</xm:f>
              <xm:sqref>BD12</xm:sqref>
            </x14:sparkline>
            <x14:sparkline>
              <xm:f>AUG!AT13:AW13</xm:f>
              <xm:sqref>BD13</xm:sqref>
            </x14:sparkline>
            <x14:sparkline>
              <xm:f>AUG!AT14:AW14</xm:f>
              <xm:sqref>BD14</xm:sqref>
            </x14:sparkline>
            <x14:sparkline>
              <xm:f>AUG!AT15:AW15</xm:f>
              <xm:sqref>BD15</xm:sqref>
            </x14:sparkline>
            <x14:sparkline>
              <xm:f>AUG!AT16:AW16</xm:f>
              <xm:sqref>BD16</xm:sqref>
            </x14:sparkline>
            <x14:sparkline>
              <xm:f>AUG!AT17:AW17</xm:f>
              <xm:sqref>BD17</xm:sqref>
            </x14:sparkline>
            <x14:sparkline>
              <xm:f>AUG!AT18:AW18</xm:f>
              <xm:sqref>BD18</xm:sqref>
            </x14:sparkline>
            <x14:sparkline>
              <xm:f>AUG!AT19:AW19</xm:f>
              <xm:sqref>BD19</xm:sqref>
            </x14:sparkline>
            <x14:sparkline>
              <xm:f>AUG!AT20:AW20</xm:f>
              <xm:sqref>BD20</xm:sqref>
            </x14:sparkline>
            <x14:sparkline>
              <xm:f>AUG!AT21:AW21</xm:f>
              <xm:sqref>BD21</xm:sqref>
            </x14:sparkline>
            <x14:sparkline>
              <xm:f>AUG!AT22:AW22</xm:f>
              <xm:sqref>BD22</xm:sqref>
            </x14:sparkline>
            <x14:sparkline>
              <xm:f>AUG!AT23:AW23</xm:f>
              <xm:sqref>BD23</xm:sqref>
            </x14:sparkline>
            <x14:sparkline>
              <xm:f>AUG!AT24:AW24</xm:f>
              <xm:sqref>BD24</xm:sqref>
            </x14:sparkline>
            <x14:sparkline>
              <xm:f>AUG!AT25:AW25</xm:f>
              <xm:sqref>BD25</xm:sqref>
            </x14:sparkline>
            <x14:sparkline>
              <xm:f>AUG!AT26:AW26</xm:f>
              <xm:sqref>BD26</xm:sqref>
            </x14:sparkline>
          </x14:sparklines>
        </x14:sparklineGroup>
      </x14:sparklineGroup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49"/>
  <sheetViews>
    <sheetView zoomScaleNormal="100" workbookViewId="0"/>
  </sheetViews>
  <sheetFormatPr defaultColWidth="9.109375" defaultRowHeight="14.4" x14ac:dyDescent="0.3"/>
  <cols>
    <col min="1" max="6" width="9.109375" style="7"/>
    <col min="7" max="7" width="11.6640625" style="7" bestFit="1" customWidth="1"/>
    <col min="8" max="8" width="16" style="7" bestFit="1" customWidth="1"/>
    <col min="9" max="9" width="9.109375" style="7"/>
    <col min="10" max="10" width="5.33203125" style="7" bestFit="1" customWidth="1"/>
    <col min="11" max="11" width="6" style="7" customWidth="1"/>
    <col min="12" max="12" width="5" style="7" bestFit="1" customWidth="1"/>
    <col min="13" max="14" width="4.33203125" style="7" bestFit="1" customWidth="1"/>
    <col min="15" max="15" width="6.5546875" style="7" customWidth="1"/>
    <col min="16" max="16" width="4.33203125" style="7" bestFit="1" customWidth="1"/>
    <col min="17" max="17" width="5.109375" style="7" bestFit="1" customWidth="1"/>
    <col min="18" max="18" width="4.33203125" style="7" bestFit="1" customWidth="1"/>
    <col min="19" max="19" width="5" style="7" bestFit="1" customWidth="1"/>
    <col min="20" max="20" width="4.33203125" style="7" bestFit="1" customWidth="1"/>
    <col min="21" max="21" width="5.109375" style="7" bestFit="1" customWidth="1"/>
    <col min="22" max="22" width="5" style="7" bestFit="1" customWidth="1"/>
    <col min="23" max="23" width="4.33203125" style="7" bestFit="1" customWidth="1"/>
    <col min="24" max="24" width="5.109375" style="7" bestFit="1" customWidth="1"/>
    <col min="25" max="25" width="4.33203125" style="7" bestFit="1" customWidth="1"/>
    <col min="26" max="26" width="5" style="7" bestFit="1" customWidth="1"/>
    <col min="27" max="27" width="4.33203125" style="7" bestFit="1" customWidth="1"/>
    <col min="28" max="28" width="5.109375" style="7" bestFit="1" customWidth="1"/>
    <col min="29" max="29" width="5" style="7" bestFit="1" customWidth="1"/>
    <col min="30" max="30" width="4.33203125" style="7" bestFit="1" customWidth="1"/>
    <col min="31" max="31" width="5.109375" style="7" bestFit="1" customWidth="1"/>
    <col min="32" max="32" width="4.33203125" style="7" bestFit="1" customWidth="1"/>
    <col min="33" max="33" width="5" style="7" bestFit="1" customWidth="1"/>
    <col min="34" max="34" width="4.33203125" style="7" bestFit="1" customWidth="1"/>
    <col min="35" max="35" width="5.109375" style="7" bestFit="1" customWidth="1"/>
    <col min="36" max="37" width="4.33203125" style="7" bestFit="1" customWidth="1"/>
    <col min="38" max="38" width="5.109375" style="7" bestFit="1" customWidth="1"/>
    <col min="39" max="39" width="4.33203125" style="7" bestFit="1" customWidth="1"/>
    <col min="40" max="40" width="9.109375" style="7"/>
    <col min="41" max="41" width="9.33203125" style="7" bestFit="1" customWidth="1"/>
    <col min="42" max="43" width="14.33203125" style="7" customWidth="1"/>
    <col min="44" max="44" width="18" style="7" customWidth="1"/>
    <col min="45" max="45" width="10.5546875" style="7" customWidth="1"/>
    <col min="46" max="46" width="9.88671875" style="7" customWidth="1"/>
    <col min="47" max="47" width="9.33203125" style="7" bestFit="1" customWidth="1"/>
    <col min="48" max="48" width="12.109375" style="7" customWidth="1"/>
    <col min="49" max="49" width="9.33203125" style="7" bestFit="1" customWidth="1"/>
    <col min="50" max="50" width="11.88671875" style="7" customWidth="1"/>
    <col min="51" max="51" width="14.33203125" style="7" bestFit="1" customWidth="1"/>
    <col min="52" max="52" width="15.44140625" style="7" customWidth="1"/>
    <col min="53" max="53" width="12.88671875" style="7" customWidth="1"/>
    <col min="54" max="54" width="14.5546875" style="7" bestFit="1" customWidth="1"/>
    <col min="55" max="55" width="13.5546875" style="7" customWidth="1"/>
    <col min="56" max="16384" width="9.109375" style="7"/>
  </cols>
  <sheetData>
    <row r="1" spans="4:67" x14ac:dyDescent="0.3">
      <c r="AN1" s="37"/>
      <c r="BD1" s="37"/>
      <c r="BE1" s="37"/>
      <c r="BF1" s="37"/>
      <c r="BG1" s="37"/>
      <c r="BH1" s="37"/>
      <c r="BI1" s="37"/>
      <c r="BJ1" s="37"/>
    </row>
    <row r="2" spans="4:67" x14ac:dyDescent="0.3">
      <c r="AN2" s="37"/>
      <c r="BD2" s="37"/>
      <c r="BE2" s="37"/>
      <c r="BF2" s="37"/>
      <c r="BG2" s="37"/>
      <c r="BH2" s="37"/>
      <c r="BI2" s="37"/>
      <c r="BJ2" s="37"/>
    </row>
    <row r="3" spans="4:67" x14ac:dyDescent="0.3"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  <c r="AA3" s="37"/>
      <c r="AB3" s="37"/>
      <c r="AC3" s="37"/>
      <c r="AD3" s="37"/>
      <c r="AE3" s="37"/>
      <c r="AF3" s="37"/>
      <c r="AG3" s="37"/>
      <c r="AH3" s="37"/>
      <c r="AI3" s="37"/>
      <c r="AJ3" s="37"/>
      <c r="AK3" s="37"/>
      <c r="AL3" s="37"/>
      <c r="AM3" s="37"/>
      <c r="AN3" s="37"/>
      <c r="AO3" s="37"/>
      <c r="AP3" s="37"/>
      <c r="AQ3" s="37"/>
      <c r="AR3" s="37"/>
      <c r="AS3" s="37"/>
      <c r="AT3" s="37"/>
      <c r="AU3" s="37"/>
      <c r="AV3" s="37"/>
      <c r="AW3" s="37"/>
      <c r="AX3" s="37"/>
      <c r="AY3" s="37"/>
      <c r="AZ3" s="37"/>
      <c r="BA3" s="37"/>
      <c r="BB3" s="37"/>
      <c r="BC3" s="37"/>
      <c r="BD3" s="37"/>
      <c r="BE3" s="37"/>
      <c r="BF3" s="37"/>
      <c r="BG3" s="37"/>
      <c r="BH3" s="37"/>
      <c r="BI3" s="37"/>
      <c r="BJ3" s="37"/>
      <c r="BK3" s="37"/>
      <c r="BL3" s="37"/>
      <c r="BM3" s="37"/>
      <c r="BN3" s="37"/>
      <c r="BO3" s="37"/>
    </row>
    <row r="4" spans="4:67" ht="15" thickBot="1" x14ac:dyDescent="0.35">
      <c r="D4" s="37"/>
      <c r="E4" s="41"/>
      <c r="F4" s="41"/>
      <c r="G4" s="42" t="s">
        <v>26</v>
      </c>
      <c r="H4" s="43">
        <v>45901</v>
      </c>
      <c r="I4" s="42"/>
      <c r="J4" s="42" t="s">
        <v>27</v>
      </c>
      <c r="K4" s="43">
        <f>EOMONTH(H4,0)</f>
        <v>45930</v>
      </c>
      <c r="L4" s="42"/>
      <c r="M4" s="42"/>
      <c r="N4" s="42">
        <f>(DATEDIF($H$4,$K$4,"D"))+1</f>
        <v>30</v>
      </c>
      <c r="O4" s="44" t="str">
        <f>TEXT(H4,"MMMM")</f>
        <v>September</v>
      </c>
      <c r="P4" s="42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41"/>
      <c r="AC4" s="41"/>
      <c r="AD4" s="41"/>
      <c r="AE4" s="41"/>
      <c r="AF4" s="41"/>
      <c r="AG4" s="41"/>
      <c r="AH4" s="41"/>
      <c r="AI4" s="41"/>
      <c r="AJ4" s="41"/>
      <c r="AK4" s="41"/>
      <c r="AL4" s="41"/>
      <c r="AM4" s="41"/>
      <c r="AN4" s="37"/>
      <c r="AO4" s="37"/>
      <c r="AP4" s="37"/>
      <c r="AQ4" s="37"/>
      <c r="AR4" s="37"/>
      <c r="AS4" s="37"/>
      <c r="AT4" s="37"/>
      <c r="AU4" s="38"/>
      <c r="AV4" s="37"/>
      <c r="AW4" s="37"/>
      <c r="AX4" s="37"/>
      <c r="AY4" s="37"/>
      <c r="AZ4" s="37"/>
      <c r="BA4" s="37"/>
      <c r="BB4" s="37"/>
      <c r="BC4" s="37"/>
      <c r="BD4" s="37"/>
      <c r="BE4" s="37"/>
      <c r="BF4" s="37"/>
      <c r="BG4" s="37"/>
      <c r="BH4" s="37"/>
      <c r="BI4" s="37"/>
      <c r="BJ4" s="37"/>
      <c r="BK4" s="37"/>
      <c r="BL4" s="37"/>
      <c r="BM4" s="37"/>
      <c r="BN4" s="37"/>
      <c r="BO4" s="37"/>
    </row>
    <row r="5" spans="4:67" ht="15" thickBot="1" x14ac:dyDescent="0.35">
      <c r="D5" s="37"/>
      <c r="E5" s="41"/>
      <c r="F5" s="88" t="s">
        <v>40</v>
      </c>
      <c r="G5" s="89"/>
      <c r="H5" s="89"/>
      <c r="I5" s="54" t="s">
        <v>29</v>
      </c>
      <c r="J5" s="8" t="str">
        <f>TEXT(J6,"DDD")</f>
        <v>Mon</v>
      </c>
      <c r="K5" s="8" t="str">
        <f t="shared" ref="K5:AM5" si="0">TEXT(K6,"DDD")</f>
        <v>Tue</v>
      </c>
      <c r="L5" s="8" t="str">
        <f t="shared" si="0"/>
        <v>Wed</v>
      </c>
      <c r="M5" s="8" t="str">
        <f t="shared" si="0"/>
        <v>Thu</v>
      </c>
      <c r="N5" s="8" t="str">
        <f t="shared" si="0"/>
        <v>Fri</v>
      </c>
      <c r="O5" s="8" t="str">
        <f t="shared" si="0"/>
        <v>Sat</v>
      </c>
      <c r="P5" s="8" t="str">
        <f t="shared" si="0"/>
        <v>Sun</v>
      </c>
      <c r="Q5" s="8" t="str">
        <f t="shared" si="0"/>
        <v>Mon</v>
      </c>
      <c r="R5" s="8" t="str">
        <f t="shared" si="0"/>
        <v>Tue</v>
      </c>
      <c r="S5" s="8" t="str">
        <f t="shared" si="0"/>
        <v>Wed</v>
      </c>
      <c r="T5" s="8" t="str">
        <f t="shared" si="0"/>
        <v>Thu</v>
      </c>
      <c r="U5" s="8" t="str">
        <f t="shared" si="0"/>
        <v>Fri</v>
      </c>
      <c r="V5" s="8" t="str">
        <f t="shared" si="0"/>
        <v>Sat</v>
      </c>
      <c r="W5" s="8" t="str">
        <f t="shared" si="0"/>
        <v>Sun</v>
      </c>
      <c r="X5" s="8" t="str">
        <f t="shared" si="0"/>
        <v>Mon</v>
      </c>
      <c r="Y5" s="8" t="str">
        <f t="shared" si="0"/>
        <v>Tue</v>
      </c>
      <c r="Z5" s="8" t="str">
        <f t="shared" si="0"/>
        <v>Wed</v>
      </c>
      <c r="AA5" s="8" t="str">
        <f t="shared" si="0"/>
        <v>Thu</v>
      </c>
      <c r="AB5" s="8" t="str">
        <f t="shared" si="0"/>
        <v>Fri</v>
      </c>
      <c r="AC5" s="8" t="str">
        <f t="shared" si="0"/>
        <v>Sat</v>
      </c>
      <c r="AD5" s="8" t="str">
        <f t="shared" si="0"/>
        <v>Sun</v>
      </c>
      <c r="AE5" s="8" t="str">
        <f t="shared" si="0"/>
        <v>Mon</v>
      </c>
      <c r="AF5" s="8" t="str">
        <f t="shared" si="0"/>
        <v>Tue</v>
      </c>
      <c r="AG5" s="8" t="str">
        <f t="shared" si="0"/>
        <v>Wed</v>
      </c>
      <c r="AH5" s="8" t="str">
        <f t="shared" si="0"/>
        <v>Thu</v>
      </c>
      <c r="AI5" s="8" t="str">
        <f t="shared" si="0"/>
        <v>Fri</v>
      </c>
      <c r="AJ5" s="8" t="str">
        <f t="shared" si="0"/>
        <v>Sat</v>
      </c>
      <c r="AK5" s="8" t="str">
        <f t="shared" si="0"/>
        <v>Sun</v>
      </c>
      <c r="AL5" s="8" t="str">
        <f t="shared" si="0"/>
        <v>Mon</v>
      </c>
      <c r="AM5" s="9" t="str">
        <f t="shared" si="0"/>
        <v>Tue</v>
      </c>
      <c r="AN5" s="39"/>
      <c r="AO5" s="39"/>
      <c r="AP5" s="39"/>
      <c r="AQ5" s="39"/>
      <c r="AR5" s="39"/>
      <c r="AS5" s="39"/>
      <c r="AT5" s="39"/>
      <c r="AU5" s="39"/>
      <c r="AV5" s="39"/>
      <c r="AW5" s="39"/>
      <c r="AX5" s="39"/>
      <c r="AY5" s="39"/>
      <c r="AZ5" s="39"/>
      <c r="BA5" s="39"/>
      <c r="BB5" s="39"/>
      <c r="BC5" s="39"/>
      <c r="BD5" s="39"/>
      <c r="BE5" s="37"/>
      <c r="BF5" s="37"/>
      <c r="BG5" s="37"/>
      <c r="BH5" s="37"/>
      <c r="BI5" s="37"/>
      <c r="BJ5" s="37"/>
    </row>
    <row r="6" spans="4:67" ht="18.600000000000001" thickBot="1" x14ac:dyDescent="0.35">
      <c r="D6" s="37"/>
      <c r="E6" s="41"/>
      <c r="F6" s="10" t="s">
        <v>24</v>
      </c>
      <c r="G6" s="11" t="s">
        <v>23</v>
      </c>
      <c r="H6" s="11" t="s">
        <v>25</v>
      </c>
      <c r="I6" s="13" t="s">
        <v>28</v>
      </c>
      <c r="J6" s="14">
        <f>H4</f>
        <v>45901</v>
      </c>
      <c r="K6" s="14">
        <f>IF(J6&lt;$K$4,J6+1,"")</f>
        <v>45902</v>
      </c>
      <c r="L6" s="14">
        <f t="shared" ref="L6:AL6" si="1">IF(K6&lt;$K$4,K6+1,"")</f>
        <v>45903</v>
      </c>
      <c r="M6" s="14">
        <f t="shared" si="1"/>
        <v>45904</v>
      </c>
      <c r="N6" s="14">
        <f t="shared" si="1"/>
        <v>45905</v>
      </c>
      <c r="O6" s="14">
        <f t="shared" si="1"/>
        <v>45906</v>
      </c>
      <c r="P6" s="14">
        <f t="shared" si="1"/>
        <v>45907</v>
      </c>
      <c r="Q6" s="14">
        <f t="shared" si="1"/>
        <v>45908</v>
      </c>
      <c r="R6" s="14">
        <f t="shared" si="1"/>
        <v>45909</v>
      </c>
      <c r="S6" s="14">
        <f t="shared" si="1"/>
        <v>45910</v>
      </c>
      <c r="T6" s="14">
        <f t="shared" si="1"/>
        <v>45911</v>
      </c>
      <c r="U6" s="14">
        <f t="shared" si="1"/>
        <v>45912</v>
      </c>
      <c r="V6" s="14">
        <f t="shared" si="1"/>
        <v>45913</v>
      </c>
      <c r="W6" s="14">
        <f t="shared" si="1"/>
        <v>45914</v>
      </c>
      <c r="X6" s="14">
        <f t="shared" si="1"/>
        <v>45915</v>
      </c>
      <c r="Y6" s="14">
        <f t="shared" si="1"/>
        <v>45916</v>
      </c>
      <c r="Z6" s="14">
        <f t="shared" si="1"/>
        <v>45917</v>
      </c>
      <c r="AA6" s="14">
        <f t="shared" si="1"/>
        <v>45918</v>
      </c>
      <c r="AB6" s="14">
        <f t="shared" si="1"/>
        <v>45919</v>
      </c>
      <c r="AC6" s="14">
        <f t="shared" si="1"/>
        <v>45920</v>
      </c>
      <c r="AD6" s="14">
        <f t="shared" si="1"/>
        <v>45921</v>
      </c>
      <c r="AE6" s="14">
        <f t="shared" si="1"/>
        <v>45922</v>
      </c>
      <c r="AF6" s="14">
        <f t="shared" si="1"/>
        <v>45923</v>
      </c>
      <c r="AG6" s="14">
        <f t="shared" si="1"/>
        <v>45924</v>
      </c>
      <c r="AH6" s="14">
        <f t="shared" si="1"/>
        <v>45925</v>
      </c>
      <c r="AI6" s="14">
        <f t="shared" si="1"/>
        <v>45926</v>
      </c>
      <c r="AJ6" s="14">
        <f t="shared" si="1"/>
        <v>45927</v>
      </c>
      <c r="AK6" s="14">
        <f t="shared" si="1"/>
        <v>45928</v>
      </c>
      <c r="AL6" s="14">
        <f t="shared" si="1"/>
        <v>45929</v>
      </c>
      <c r="AM6" s="15">
        <f t="shared" ref="AM6" si="2">IF(AL6&lt;$K$4,AL6+1,"")</f>
        <v>45930</v>
      </c>
      <c r="AN6" s="40"/>
      <c r="AO6" s="34" t="s">
        <v>24</v>
      </c>
      <c r="AP6" s="35" t="s">
        <v>23</v>
      </c>
      <c r="AQ6" s="35" t="s">
        <v>41</v>
      </c>
      <c r="AR6" s="35" t="s">
        <v>25</v>
      </c>
      <c r="AS6" s="35" t="s">
        <v>30</v>
      </c>
      <c r="AT6" s="35" t="s">
        <v>31</v>
      </c>
      <c r="AU6" s="35" t="s">
        <v>32</v>
      </c>
      <c r="AV6" s="35" t="s">
        <v>38</v>
      </c>
      <c r="AW6" s="35" t="s">
        <v>29</v>
      </c>
      <c r="AX6" s="35" t="s">
        <v>33</v>
      </c>
      <c r="AY6" s="35" t="s">
        <v>34</v>
      </c>
      <c r="AZ6" s="35" t="s">
        <v>35</v>
      </c>
      <c r="BA6" s="35" t="s">
        <v>36</v>
      </c>
      <c r="BB6" s="35" t="s">
        <v>37</v>
      </c>
      <c r="BC6" s="36" t="s">
        <v>39</v>
      </c>
      <c r="BD6" s="39"/>
      <c r="BE6" s="37"/>
      <c r="BF6" s="37"/>
      <c r="BG6" s="37"/>
      <c r="BH6" s="37"/>
      <c r="BI6" s="37"/>
      <c r="BJ6" s="37"/>
    </row>
    <row r="7" spans="4:67" x14ac:dyDescent="0.3">
      <c r="D7" s="37"/>
      <c r="E7" s="41"/>
      <c r="F7" s="16">
        <v>1</v>
      </c>
      <c r="G7" s="17">
        <v>1001</v>
      </c>
      <c r="H7" s="17" t="s">
        <v>3</v>
      </c>
      <c r="I7" s="16">
        <f t="shared" ref="I7:I26" si="3">COUNTIF($J$5:$AM$5,"SUN")</f>
        <v>4</v>
      </c>
      <c r="J7" s="55" t="s">
        <v>42</v>
      </c>
      <c r="K7" s="55" t="s">
        <v>42</v>
      </c>
      <c r="L7" s="55" t="s">
        <v>42</v>
      </c>
      <c r="M7" s="55" t="s">
        <v>42</v>
      </c>
      <c r="N7" s="55" t="s">
        <v>44</v>
      </c>
      <c r="O7" s="55" t="s">
        <v>42</v>
      </c>
      <c r="P7" s="19" t="str">
        <f t="shared" ref="P7:AK15" si="4">IF(P$5="Sun","WO","")</f>
        <v>WO</v>
      </c>
      <c r="Q7" s="55" t="s">
        <v>42</v>
      </c>
      <c r="R7" s="55" t="s">
        <v>42</v>
      </c>
      <c r="S7" s="55" t="s">
        <v>44</v>
      </c>
      <c r="T7" s="55" t="s">
        <v>42</v>
      </c>
      <c r="U7" s="55" t="s">
        <v>42</v>
      </c>
      <c r="V7" s="55" t="s">
        <v>42</v>
      </c>
      <c r="W7" s="19" t="str">
        <f t="shared" si="4"/>
        <v>WO</v>
      </c>
      <c r="X7" s="55" t="s">
        <v>42</v>
      </c>
      <c r="Y7" s="55" t="s">
        <v>42</v>
      </c>
      <c r="Z7" s="55" t="s">
        <v>42</v>
      </c>
      <c r="AA7" s="55" t="s">
        <v>42</v>
      </c>
      <c r="AB7" s="55" t="s">
        <v>42</v>
      </c>
      <c r="AC7" s="55" t="s">
        <v>42</v>
      </c>
      <c r="AD7" s="19" t="str">
        <f t="shared" si="4"/>
        <v>WO</v>
      </c>
      <c r="AE7" s="55" t="s">
        <v>42</v>
      </c>
      <c r="AF7" s="55" t="s">
        <v>42</v>
      </c>
      <c r="AG7" s="55" t="s">
        <v>42</v>
      </c>
      <c r="AH7" s="55" t="s">
        <v>42</v>
      </c>
      <c r="AI7" s="55" t="s">
        <v>42</v>
      </c>
      <c r="AJ7" s="55" t="s">
        <v>42</v>
      </c>
      <c r="AK7" s="19" t="str">
        <f t="shared" si="4"/>
        <v>WO</v>
      </c>
      <c r="AL7" s="55" t="s">
        <v>42</v>
      </c>
      <c r="AM7" s="57" t="s">
        <v>42</v>
      </c>
      <c r="AN7" s="39"/>
      <c r="AO7" s="28">
        <v>1</v>
      </c>
      <c r="AP7" s="21">
        <v>1001</v>
      </c>
      <c r="AQ7" s="33" t="str">
        <f t="shared" ref="AQ7:AQ26" si="5">$O$4</f>
        <v>September</v>
      </c>
      <c r="AR7" s="21" t="s">
        <v>3</v>
      </c>
      <c r="AS7" s="29">
        <f t="shared" ref="AS7:AS26" si="6">COUNTIF($J7:$AM7,"*P*")</f>
        <v>24</v>
      </c>
      <c r="AT7" s="29">
        <f t="shared" ref="AT7:AT26" si="7">COUNTIF($J7:$AM7,"*A*")</f>
        <v>0</v>
      </c>
      <c r="AU7" s="29">
        <f t="shared" ref="AU7:AU26" si="8">COUNTIF($J7:$AM7,"*L*")</f>
        <v>2</v>
      </c>
      <c r="AV7" s="29">
        <f t="shared" ref="AV7:AV26" si="9">I7</f>
        <v>4</v>
      </c>
      <c r="AW7" s="30">
        <f>$N$4</f>
        <v>30</v>
      </c>
      <c r="AX7" s="29">
        <f>SEPReport[[#This Row],[Days]]-SEPReport[[#This Row],[Adsent]]</f>
        <v>30</v>
      </c>
      <c r="AY7" s="31">
        <v>10000</v>
      </c>
      <c r="AZ7" s="32">
        <f>SEPReport[[#This Row],[Salary]]/SEPReport[[#This Row],[Days]]</f>
        <v>333.33333333333331</v>
      </c>
      <c r="BA7" s="31">
        <f>SEPReport[[#This Row],[Perday salary]]*SEPReport[[#This Row],[Adsent]]</f>
        <v>0</v>
      </c>
      <c r="BB7" s="31">
        <f>SEPReport[[#This Row],[Salary]]-SEPReport[[#This Row],[Detuction ]]</f>
        <v>10000</v>
      </c>
      <c r="BC7" s="29"/>
      <c r="BD7" s="39"/>
      <c r="BE7" s="37"/>
      <c r="BF7" s="37"/>
      <c r="BG7" s="37"/>
      <c r="BH7" s="37"/>
      <c r="BI7" s="37"/>
      <c r="BJ7" s="37"/>
    </row>
    <row r="8" spans="4:67" x14ac:dyDescent="0.3">
      <c r="D8" s="37"/>
      <c r="E8" s="41"/>
      <c r="F8" s="20">
        <v>2</v>
      </c>
      <c r="G8" s="21">
        <v>1002</v>
      </c>
      <c r="H8" s="21" t="s">
        <v>4</v>
      </c>
      <c r="I8" s="20">
        <f t="shared" si="3"/>
        <v>4</v>
      </c>
      <c r="J8" s="28" t="s">
        <v>42</v>
      </c>
      <c r="K8" s="28" t="s">
        <v>42</v>
      </c>
      <c r="L8" s="28" t="s">
        <v>42</v>
      </c>
      <c r="M8" s="28" t="s">
        <v>42</v>
      </c>
      <c r="N8" s="28" t="s">
        <v>44</v>
      </c>
      <c r="O8" s="28" t="s">
        <v>42</v>
      </c>
      <c r="P8" s="23" t="str">
        <f t="shared" si="4"/>
        <v>WO</v>
      </c>
      <c r="Q8" s="28" t="s">
        <v>42</v>
      </c>
      <c r="R8" s="28" t="s">
        <v>42</v>
      </c>
      <c r="S8" s="28" t="s">
        <v>44</v>
      </c>
      <c r="T8" s="28" t="s">
        <v>42</v>
      </c>
      <c r="U8" s="28" t="s">
        <v>42</v>
      </c>
      <c r="V8" s="28" t="s">
        <v>42</v>
      </c>
      <c r="W8" s="23" t="str">
        <f t="shared" si="4"/>
        <v>WO</v>
      </c>
      <c r="X8" s="28" t="s">
        <v>42</v>
      </c>
      <c r="Y8" s="28" t="s">
        <v>42</v>
      </c>
      <c r="Z8" s="28" t="s">
        <v>42</v>
      </c>
      <c r="AA8" s="28" t="s">
        <v>42</v>
      </c>
      <c r="AB8" s="28" t="s">
        <v>42</v>
      </c>
      <c r="AC8" s="28" t="s">
        <v>42</v>
      </c>
      <c r="AD8" s="23" t="str">
        <f t="shared" si="4"/>
        <v>WO</v>
      </c>
      <c r="AE8" s="28" t="s">
        <v>42</v>
      </c>
      <c r="AF8" s="28" t="s">
        <v>42</v>
      </c>
      <c r="AG8" s="28" t="s">
        <v>42</v>
      </c>
      <c r="AH8" s="28" t="s">
        <v>42</v>
      </c>
      <c r="AI8" s="28" t="s">
        <v>42</v>
      </c>
      <c r="AJ8" s="28" t="s">
        <v>42</v>
      </c>
      <c r="AK8" s="23" t="str">
        <f t="shared" si="4"/>
        <v>WO</v>
      </c>
      <c r="AL8" s="28" t="s">
        <v>42</v>
      </c>
      <c r="AM8" s="58" t="s">
        <v>42</v>
      </c>
      <c r="AN8" s="39"/>
      <c r="AO8" s="28">
        <v>2</v>
      </c>
      <c r="AP8" s="21">
        <v>1002</v>
      </c>
      <c r="AQ8" s="33" t="str">
        <f t="shared" si="5"/>
        <v>September</v>
      </c>
      <c r="AR8" s="21" t="s">
        <v>4</v>
      </c>
      <c r="AS8" s="29">
        <f t="shared" si="6"/>
        <v>24</v>
      </c>
      <c r="AT8" s="29">
        <f t="shared" si="7"/>
        <v>0</v>
      </c>
      <c r="AU8" s="29">
        <f t="shared" si="8"/>
        <v>2</v>
      </c>
      <c r="AV8" s="29">
        <f t="shared" si="9"/>
        <v>4</v>
      </c>
      <c r="AW8" s="30">
        <f t="shared" ref="AW8:AW26" si="10">$N$4</f>
        <v>30</v>
      </c>
      <c r="AX8" s="29">
        <f>SEPReport[[#This Row],[Days]]-SEPReport[[#This Row],[Adsent]]</f>
        <v>30</v>
      </c>
      <c r="AY8" s="31">
        <v>20000</v>
      </c>
      <c r="AZ8" s="32">
        <f>SEPReport[[#This Row],[Salary]]/SEPReport[[#This Row],[Days]]</f>
        <v>666.66666666666663</v>
      </c>
      <c r="BA8" s="31">
        <f>SEPReport[[#This Row],[Perday salary]]*SEPReport[[#This Row],[Adsent]]</f>
        <v>0</v>
      </c>
      <c r="BB8" s="31">
        <f>SEPReport[[#This Row],[Salary]]-SEPReport[[#This Row],[Detuction ]]</f>
        <v>20000</v>
      </c>
      <c r="BC8" s="29"/>
      <c r="BD8" s="39"/>
      <c r="BE8" s="37"/>
      <c r="BF8" s="37"/>
      <c r="BG8" s="37"/>
      <c r="BH8" s="37"/>
      <c r="BI8" s="37"/>
      <c r="BJ8" s="37"/>
    </row>
    <row r="9" spans="4:67" x14ac:dyDescent="0.3">
      <c r="D9" s="37"/>
      <c r="E9" s="41"/>
      <c r="F9" s="20">
        <v>3</v>
      </c>
      <c r="G9" s="21">
        <v>1003</v>
      </c>
      <c r="H9" s="21" t="s">
        <v>5</v>
      </c>
      <c r="I9" s="20">
        <f t="shared" si="3"/>
        <v>4</v>
      </c>
      <c r="J9" s="28" t="s">
        <v>42</v>
      </c>
      <c r="K9" s="28" t="s">
        <v>42</v>
      </c>
      <c r="L9" s="28" t="s">
        <v>42</v>
      </c>
      <c r="M9" s="28" t="s">
        <v>42</v>
      </c>
      <c r="N9" s="28" t="s">
        <v>44</v>
      </c>
      <c r="O9" s="28" t="s">
        <v>42</v>
      </c>
      <c r="P9" s="23" t="str">
        <f t="shared" si="4"/>
        <v>WO</v>
      </c>
      <c r="Q9" s="28" t="s">
        <v>42</v>
      </c>
      <c r="R9" s="28" t="s">
        <v>42</v>
      </c>
      <c r="S9" s="28" t="s">
        <v>44</v>
      </c>
      <c r="T9" s="28" t="s">
        <v>42</v>
      </c>
      <c r="U9" s="28" t="s">
        <v>42</v>
      </c>
      <c r="V9" s="28" t="s">
        <v>42</v>
      </c>
      <c r="W9" s="23" t="str">
        <f t="shared" si="4"/>
        <v>WO</v>
      </c>
      <c r="X9" s="28" t="s">
        <v>42</v>
      </c>
      <c r="Y9" s="28" t="s">
        <v>42</v>
      </c>
      <c r="Z9" s="28" t="s">
        <v>42</v>
      </c>
      <c r="AA9" s="28" t="s">
        <v>42</v>
      </c>
      <c r="AB9" s="28" t="s">
        <v>42</v>
      </c>
      <c r="AC9" s="28" t="s">
        <v>42</v>
      </c>
      <c r="AD9" s="23" t="str">
        <f t="shared" si="4"/>
        <v>WO</v>
      </c>
      <c r="AE9" s="28" t="s">
        <v>42</v>
      </c>
      <c r="AF9" s="28" t="s">
        <v>42</v>
      </c>
      <c r="AG9" s="28" t="s">
        <v>42</v>
      </c>
      <c r="AH9" s="28" t="s">
        <v>42</v>
      </c>
      <c r="AI9" s="28" t="s">
        <v>42</v>
      </c>
      <c r="AJ9" s="28" t="s">
        <v>42</v>
      </c>
      <c r="AK9" s="23" t="str">
        <f t="shared" si="4"/>
        <v>WO</v>
      </c>
      <c r="AL9" s="28" t="s">
        <v>42</v>
      </c>
      <c r="AM9" s="58" t="s">
        <v>42</v>
      </c>
      <c r="AN9" s="39"/>
      <c r="AO9" s="28">
        <v>3</v>
      </c>
      <c r="AP9" s="21">
        <v>1003</v>
      </c>
      <c r="AQ9" s="33" t="str">
        <f t="shared" si="5"/>
        <v>September</v>
      </c>
      <c r="AR9" s="21" t="s">
        <v>5</v>
      </c>
      <c r="AS9" s="29">
        <f t="shared" si="6"/>
        <v>24</v>
      </c>
      <c r="AT9" s="29">
        <f t="shared" si="7"/>
        <v>0</v>
      </c>
      <c r="AU9" s="29">
        <f t="shared" si="8"/>
        <v>2</v>
      </c>
      <c r="AV9" s="29">
        <f t="shared" si="9"/>
        <v>4</v>
      </c>
      <c r="AW9" s="30">
        <f t="shared" si="10"/>
        <v>30</v>
      </c>
      <c r="AX9" s="29">
        <f>SEPReport[[#This Row],[Days]]-SEPReport[[#This Row],[Adsent]]</f>
        <v>30</v>
      </c>
      <c r="AY9" s="31">
        <v>25000</v>
      </c>
      <c r="AZ9" s="32">
        <f>SEPReport[[#This Row],[Salary]]/SEPReport[[#This Row],[Days]]</f>
        <v>833.33333333333337</v>
      </c>
      <c r="BA9" s="31">
        <f>SEPReport[[#This Row],[Perday salary]]*SEPReport[[#This Row],[Adsent]]</f>
        <v>0</v>
      </c>
      <c r="BB9" s="31">
        <f>SEPReport[[#This Row],[Salary]]-SEPReport[[#This Row],[Detuction ]]</f>
        <v>25000</v>
      </c>
      <c r="BC9" s="29"/>
      <c r="BD9" s="39"/>
      <c r="BE9" s="37"/>
      <c r="BF9" s="37"/>
      <c r="BG9" s="37"/>
      <c r="BH9" s="37"/>
      <c r="BI9" s="37"/>
      <c r="BJ9" s="37"/>
    </row>
    <row r="10" spans="4:67" x14ac:dyDescent="0.3">
      <c r="D10" s="37"/>
      <c r="E10" s="41"/>
      <c r="F10" s="20">
        <v>4</v>
      </c>
      <c r="G10" s="21">
        <v>1004</v>
      </c>
      <c r="H10" s="21" t="s">
        <v>6</v>
      </c>
      <c r="I10" s="20">
        <f t="shared" si="3"/>
        <v>4</v>
      </c>
      <c r="J10" s="28" t="s">
        <v>42</v>
      </c>
      <c r="K10" s="28" t="s">
        <v>42</v>
      </c>
      <c r="L10" s="28" t="s">
        <v>42</v>
      </c>
      <c r="M10" s="28" t="s">
        <v>42</v>
      </c>
      <c r="N10" s="28" t="s">
        <v>44</v>
      </c>
      <c r="O10" s="28" t="s">
        <v>42</v>
      </c>
      <c r="P10" s="23" t="str">
        <f t="shared" si="4"/>
        <v>WO</v>
      </c>
      <c r="Q10" s="28" t="s">
        <v>42</v>
      </c>
      <c r="R10" s="28" t="s">
        <v>42</v>
      </c>
      <c r="S10" s="28" t="s">
        <v>44</v>
      </c>
      <c r="T10" s="28" t="s">
        <v>42</v>
      </c>
      <c r="U10" s="28" t="s">
        <v>42</v>
      </c>
      <c r="V10" s="28" t="s">
        <v>42</v>
      </c>
      <c r="W10" s="23" t="str">
        <f t="shared" si="4"/>
        <v>WO</v>
      </c>
      <c r="X10" s="28" t="s">
        <v>42</v>
      </c>
      <c r="Y10" s="28" t="s">
        <v>42</v>
      </c>
      <c r="Z10" s="28" t="s">
        <v>42</v>
      </c>
      <c r="AA10" s="28" t="s">
        <v>42</v>
      </c>
      <c r="AB10" s="28" t="s">
        <v>42</v>
      </c>
      <c r="AC10" s="28" t="s">
        <v>42</v>
      </c>
      <c r="AD10" s="23" t="str">
        <f t="shared" si="4"/>
        <v>WO</v>
      </c>
      <c r="AE10" s="28" t="s">
        <v>42</v>
      </c>
      <c r="AF10" s="28" t="s">
        <v>42</v>
      </c>
      <c r="AG10" s="28" t="s">
        <v>42</v>
      </c>
      <c r="AH10" s="28" t="s">
        <v>42</v>
      </c>
      <c r="AI10" s="28" t="s">
        <v>42</v>
      </c>
      <c r="AJ10" s="28" t="s">
        <v>42</v>
      </c>
      <c r="AK10" s="23" t="str">
        <f t="shared" si="4"/>
        <v>WO</v>
      </c>
      <c r="AL10" s="28" t="s">
        <v>42</v>
      </c>
      <c r="AM10" s="58" t="s">
        <v>42</v>
      </c>
      <c r="AN10" s="39"/>
      <c r="AO10" s="28">
        <v>4</v>
      </c>
      <c r="AP10" s="21">
        <v>1004</v>
      </c>
      <c r="AQ10" s="33" t="str">
        <f t="shared" si="5"/>
        <v>September</v>
      </c>
      <c r="AR10" s="21" t="s">
        <v>6</v>
      </c>
      <c r="AS10" s="29">
        <f t="shared" si="6"/>
        <v>24</v>
      </c>
      <c r="AT10" s="29">
        <f t="shared" si="7"/>
        <v>0</v>
      </c>
      <c r="AU10" s="29">
        <f t="shared" si="8"/>
        <v>2</v>
      </c>
      <c r="AV10" s="29">
        <f t="shared" si="9"/>
        <v>4</v>
      </c>
      <c r="AW10" s="30">
        <f t="shared" si="10"/>
        <v>30</v>
      </c>
      <c r="AX10" s="29">
        <f>SEPReport[[#This Row],[Days]]-SEPReport[[#This Row],[Adsent]]</f>
        <v>30</v>
      </c>
      <c r="AY10" s="31">
        <v>30000</v>
      </c>
      <c r="AZ10" s="32">
        <f>SEPReport[[#This Row],[Salary]]/SEPReport[[#This Row],[Days]]</f>
        <v>1000</v>
      </c>
      <c r="BA10" s="31">
        <f>SEPReport[[#This Row],[Perday salary]]*SEPReport[[#This Row],[Adsent]]</f>
        <v>0</v>
      </c>
      <c r="BB10" s="31">
        <f>SEPReport[[#This Row],[Salary]]-SEPReport[[#This Row],[Detuction ]]</f>
        <v>30000</v>
      </c>
      <c r="BC10" s="29"/>
      <c r="BD10" s="39"/>
      <c r="BE10" s="37"/>
      <c r="BF10" s="37"/>
      <c r="BG10" s="37"/>
      <c r="BH10" s="37"/>
      <c r="BI10" s="37"/>
      <c r="BJ10" s="37"/>
    </row>
    <row r="11" spans="4:67" x14ac:dyDescent="0.3">
      <c r="D11" s="37"/>
      <c r="E11" s="41"/>
      <c r="F11" s="20">
        <v>5</v>
      </c>
      <c r="G11" s="21">
        <v>1005</v>
      </c>
      <c r="H11" s="21" t="s">
        <v>7</v>
      </c>
      <c r="I11" s="20">
        <f t="shared" si="3"/>
        <v>4</v>
      </c>
      <c r="J11" s="28" t="s">
        <v>42</v>
      </c>
      <c r="K11" s="28" t="s">
        <v>42</v>
      </c>
      <c r="L11" s="28" t="s">
        <v>42</v>
      </c>
      <c r="M11" s="28" t="s">
        <v>42</v>
      </c>
      <c r="N11" s="28" t="s">
        <v>44</v>
      </c>
      <c r="O11" s="28" t="s">
        <v>42</v>
      </c>
      <c r="P11" s="23" t="str">
        <f t="shared" si="4"/>
        <v>WO</v>
      </c>
      <c r="Q11" s="28" t="s">
        <v>42</v>
      </c>
      <c r="R11" s="28" t="s">
        <v>42</v>
      </c>
      <c r="S11" s="28" t="s">
        <v>44</v>
      </c>
      <c r="T11" s="28" t="s">
        <v>42</v>
      </c>
      <c r="U11" s="28" t="s">
        <v>42</v>
      </c>
      <c r="V11" s="28" t="s">
        <v>42</v>
      </c>
      <c r="W11" s="23" t="str">
        <f t="shared" si="4"/>
        <v>WO</v>
      </c>
      <c r="X11" s="28" t="s">
        <v>42</v>
      </c>
      <c r="Y11" s="28" t="s">
        <v>42</v>
      </c>
      <c r="Z11" s="28" t="s">
        <v>42</v>
      </c>
      <c r="AA11" s="28" t="s">
        <v>42</v>
      </c>
      <c r="AB11" s="28" t="s">
        <v>42</v>
      </c>
      <c r="AC11" s="28" t="s">
        <v>42</v>
      </c>
      <c r="AD11" s="23" t="str">
        <f t="shared" si="4"/>
        <v>WO</v>
      </c>
      <c r="AE11" s="28" t="s">
        <v>42</v>
      </c>
      <c r="AF11" s="28" t="s">
        <v>42</v>
      </c>
      <c r="AG11" s="28" t="s">
        <v>42</v>
      </c>
      <c r="AH11" s="28" t="s">
        <v>42</v>
      </c>
      <c r="AI11" s="28" t="s">
        <v>42</v>
      </c>
      <c r="AJ11" s="28" t="s">
        <v>42</v>
      </c>
      <c r="AK11" s="23" t="str">
        <f t="shared" si="4"/>
        <v>WO</v>
      </c>
      <c r="AL11" s="28" t="s">
        <v>42</v>
      </c>
      <c r="AM11" s="58" t="s">
        <v>42</v>
      </c>
      <c r="AN11" s="39"/>
      <c r="AO11" s="28">
        <v>5</v>
      </c>
      <c r="AP11" s="21">
        <v>1005</v>
      </c>
      <c r="AQ11" s="33" t="str">
        <f t="shared" si="5"/>
        <v>September</v>
      </c>
      <c r="AR11" s="21" t="s">
        <v>7</v>
      </c>
      <c r="AS11" s="29">
        <f t="shared" si="6"/>
        <v>24</v>
      </c>
      <c r="AT11" s="29">
        <f t="shared" si="7"/>
        <v>0</v>
      </c>
      <c r="AU11" s="29">
        <f t="shared" si="8"/>
        <v>2</v>
      </c>
      <c r="AV11" s="29">
        <f t="shared" si="9"/>
        <v>4</v>
      </c>
      <c r="AW11" s="30">
        <f t="shared" si="10"/>
        <v>30</v>
      </c>
      <c r="AX11" s="29">
        <f>SEPReport[[#This Row],[Days]]-SEPReport[[#This Row],[Adsent]]</f>
        <v>30</v>
      </c>
      <c r="AY11" s="31">
        <v>45000</v>
      </c>
      <c r="AZ11" s="32">
        <f>SEPReport[[#This Row],[Salary]]/SEPReport[[#This Row],[Days]]</f>
        <v>1500</v>
      </c>
      <c r="BA11" s="31">
        <f>SEPReport[[#This Row],[Perday salary]]*SEPReport[[#This Row],[Adsent]]</f>
        <v>0</v>
      </c>
      <c r="BB11" s="31">
        <f>SEPReport[[#This Row],[Salary]]-SEPReport[[#This Row],[Detuction ]]</f>
        <v>45000</v>
      </c>
      <c r="BC11" s="29"/>
      <c r="BD11" s="39"/>
      <c r="BE11" s="37"/>
      <c r="BF11" s="37"/>
      <c r="BG11" s="37"/>
      <c r="BH11" s="37"/>
      <c r="BI11" s="37"/>
      <c r="BJ11" s="37"/>
    </row>
    <row r="12" spans="4:67" x14ac:dyDescent="0.3">
      <c r="D12" s="37"/>
      <c r="E12" s="41"/>
      <c r="F12" s="20">
        <v>6</v>
      </c>
      <c r="G12" s="21">
        <v>1006</v>
      </c>
      <c r="H12" s="21" t="s">
        <v>8</v>
      </c>
      <c r="I12" s="20">
        <f t="shared" si="3"/>
        <v>4</v>
      </c>
      <c r="J12" s="28" t="s">
        <v>42</v>
      </c>
      <c r="K12" s="28" t="s">
        <v>42</v>
      </c>
      <c r="L12" s="28" t="s">
        <v>42</v>
      </c>
      <c r="M12" s="28" t="s">
        <v>42</v>
      </c>
      <c r="N12" s="28" t="s">
        <v>44</v>
      </c>
      <c r="O12" s="28" t="s">
        <v>42</v>
      </c>
      <c r="P12" s="23" t="str">
        <f t="shared" si="4"/>
        <v>WO</v>
      </c>
      <c r="Q12" s="28" t="s">
        <v>42</v>
      </c>
      <c r="R12" s="28" t="s">
        <v>42</v>
      </c>
      <c r="S12" s="28" t="s">
        <v>44</v>
      </c>
      <c r="T12" s="28" t="s">
        <v>42</v>
      </c>
      <c r="U12" s="28" t="s">
        <v>42</v>
      </c>
      <c r="V12" s="28" t="s">
        <v>42</v>
      </c>
      <c r="W12" s="23" t="str">
        <f t="shared" si="4"/>
        <v>WO</v>
      </c>
      <c r="X12" s="28" t="s">
        <v>42</v>
      </c>
      <c r="Y12" s="28" t="s">
        <v>42</v>
      </c>
      <c r="Z12" s="28" t="s">
        <v>43</v>
      </c>
      <c r="AA12" s="28" t="s">
        <v>42</v>
      </c>
      <c r="AB12" s="28" t="s">
        <v>42</v>
      </c>
      <c r="AC12" s="28" t="s">
        <v>42</v>
      </c>
      <c r="AD12" s="23" t="str">
        <f t="shared" si="4"/>
        <v>WO</v>
      </c>
      <c r="AE12" s="28" t="s">
        <v>42</v>
      </c>
      <c r="AF12" s="28" t="s">
        <v>42</v>
      </c>
      <c r="AG12" s="28" t="s">
        <v>42</v>
      </c>
      <c r="AH12" s="28" t="s">
        <v>42</v>
      </c>
      <c r="AI12" s="28" t="s">
        <v>43</v>
      </c>
      <c r="AJ12" s="28" t="s">
        <v>42</v>
      </c>
      <c r="AK12" s="23" t="str">
        <f t="shared" si="4"/>
        <v>WO</v>
      </c>
      <c r="AL12" s="28" t="s">
        <v>42</v>
      </c>
      <c r="AM12" s="58" t="s">
        <v>42</v>
      </c>
      <c r="AN12" s="39"/>
      <c r="AO12" s="28">
        <v>6</v>
      </c>
      <c r="AP12" s="21">
        <v>1006</v>
      </c>
      <c r="AQ12" s="33" t="str">
        <f t="shared" si="5"/>
        <v>September</v>
      </c>
      <c r="AR12" s="21" t="s">
        <v>8</v>
      </c>
      <c r="AS12" s="29">
        <f t="shared" si="6"/>
        <v>22</v>
      </c>
      <c r="AT12" s="29">
        <f t="shared" si="7"/>
        <v>2</v>
      </c>
      <c r="AU12" s="29">
        <f t="shared" si="8"/>
        <v>2</v>
      </c>
      <c r="AV12" s="29">
        <f t="shared" si="9"/>
        <v>4</v>
      </c>
      <c r="AW12" s="30">
        <f t="shared" si="10"/>
        <v>30</v>
      </c>
      <c r="AX12" s="29">
        <f>SEPReport[[#This Row],[Days]]-SEPReport[[#This Row],[Adsent]]</f>
        <v>28</v>
      </c>
      <c r="AY12" s="31">
        <v>15000</v>
      </c>
      <c r="AZ12" s="32">
        <f>SEPReport[[#This Row],[Salary]]/SEPReport[[#This Row],[Days]]</f>
        <v>500</v>
      </c>
      <c r="BA12" s="31">
        <f>SEPReport[[#This Row],[Perday salary]]*SEPReport[[#This Row],[Adsent]]</f>
        <v>1000</v>
      </c>
      <c r="BB12" s="31">
        <f>SEPReport[[#This Row],[Salary]]-SEPReport[[#This Row],[Detuction ]]</f>
        <v>14000</v>
      </c>
      <c r="BC12" s="29"/>
      <c r="BD12" s="39"/>
      <c r="BE12" s="37"/>
      <c r="BF12" s="37"/>
      <c r="BG12" s="37"/>
      <c r="BH12" s="37"/>
      <c r="BI12" s="37"/>
      <c r="BJ12" s="37"/>
    </row>
    <row r="13" spans="4:67" x14ac:dyDescent="0.3">
      <c r="D13" s="37"/>
      <c r="E13" s="41"/>
      <c r="F13" s="20">
        <v>7</v>
      </c>
      <c r="G13" s="21">
        <v>1007</v>
      </c>
      <c r="H13" s="21" t="s">
        <v>9</v>
      </c>
      <c r="I13" s="20">
        <f t="shared" si="3"/>
        <v>4</v>
      </c>
      <c r="J13" s="28" t="s">
        <v>42</v>
      </c>
      <c r="K13" s="28" t="s">
        <v>42</v>
      </c>
      <c r="L13" s="28" t="s">
        <v>42</v>
      </c>
      <c r="M13" s="28" t="s">
        <v>42</v>
      </c>
      <c r="N13" s="28" t="s">
        <v>44</v>
      </c>
      <c r="O13" s="28" t="s">
        <v>42</v>
      </c>
      <c r="P13" s="23" t="str">
        <f t="shared" si="4"/>
        <v>WO</v>
      </c>
      <c r="Q13" s="28" t="s">
        <v>42</v>
      </c>
      <c r="R13" s="28" t="s">
        <v>42</v>
      </c>
      <c r="S13" s="28" t="s">
        <v>44</v>
      </c>
      <c r="T13" s="28" t="s">
        <v>42</v>
      </c>
      <c r="U13" s="28" t="s">
        <v>42</v>
      </c>
      <c r="V13" s="28" t="s">
        <v>42</v>
      </c>
      <c r="W13" s="23" t="str">
        <f t="shared" si="4"/>
        <v>WO</v>
      </c>
      <c r="X13" s="28" t="s">
        <v>42</v>
      </c>
      <c r="Y13" s="28" t="s">
        <v>42</v>
      </c>
      <c r="Z13" s="28" t="s">
        <v>42</v>
      </c>
      <c r="AA13" s="28" t="s">
        <v>42</v>
      </c>
      <c r="AB13" s="28" t="s">
        <v>42</v>
      </c>
      <c r="AC13" s="28" t="s">
        <v>42</v>
      </c>
      <c r="AD13" s="23" t="str">
        <f t="shared" si="4"/>
        <v>WO</v>
      </c>
      <c r="AE13" s="28" t="s">
        <v>42</v>
      </c>
      <c r="AF13" s="28" t="s">
        <v>42</v>
      </c>
      <c r="AG13" s="28" t="s">
        <v>42</v>
      </c>
      <c r="AH13" s="28" t="s">
        <v>42</v>
      </c>
      <c r="AI13" s="28" t="s">
        <v>42</v>
      </c>
      <c r="AJ13" s="28" t="s">
        <v>42</v>
      </c>
      <c r="AK13" s="23" t="str">
        <f t="shared" si="4"/>
        <v>WO</v>
      </c>
      <c r="AL13" s="28" t="s">
        <v>42</v>
      </c>
      <c r="AM13" s="58" t="s">
        <v>42</v>
      </c>
      <c r="AN13" s="39"/>
      <c r="AO13" s="28">
        <v>7</v>
      </c>
      <c r="AP13" s="21">
        <v>1007</v>
      </c>
      <c r="AQ13" s="33" t="str">
        <f t="shared" si="5"/>
        <v>September</v>
      </c>
      <c r="AR13" s="21" t="s">
        <v>9</v>
      </c>
      <c r="AS13" s="29">
        <f t="shared" si="6"/>
        <v>24</v>
      </c>
      <c r="AT13" s="29">
        <f t="shared" si="7"/>
        <v>0</v>
      </c>
      <c r="AU13" s="29">
        <f t="shared" si="8"/>
        <v>2</v>
      </c>
      <c r="AV13" s="29">
        <f t="shared" si="9"/>
        <v>4</v>
      </c>
      <c r="AW13" s="30">
        <f t="shared" si="10"/>
        <v>30</v>
      </c>
      <c r="AX13" s="29">
        <f>SEPReport[[#This Row],[Days]]-SEPReport[[#This Row],[Adsent]]</f>
        <v>30</v>
      </c>
      <c r="AY13" s="31">
        <v>62000</v>
      </c>
      <c r="AZ13" s="32">
        <f>SEPReport[[#This Row],[Salary]]/SEPReport[[#This Row],[Days]]</f>
        <v>2066.6666666666665</v>
      </c>
      <c r="BA13" s="31">
        <f>SEPReport[[#This Row],[Perday salary]]*SEPReport[[#This Row],[Adsent]]</f>
        <v>0</v>
      </c>
      <c r="BB13" s="31">
        <f>SEPReport[[#This Row],[Salary]]-SEPReport[[#This Row],[Detuction ]]</f>
        <v>62000</v>
      </c>
      <c r="BC13" s="29"/>
      <c r="BD13" s="39"/>
      <c r="BE13" s="37"/>
      <c r="BF13" s="37"/>
      <c r="BG13" s="37"/>
      <c r="BH13" s="37"/>
      <c r="BI13" s="37"/>
      <c r="BJ13" s="37"/>
    </row>
    <row r="14" spans="4:67" x14ac:dyDescent="0.3">
      <c r="D14" s="37"/>
      <c r="E14" s="41"/>
      <c r="F14" s="20">
        <v>8</v>
      </c>
      <c r="G14" s="21">
        <v>1008</v>
      </c>
      <c r="H14" s="21" t="s">
        <v>10</v>
      </c>
      <c r="I14" s="20">
        <f t="shared" si="3"/>
        <v>4</v>
      </c>
      <c r="J14" s="28" t="s">
        <v>42</v>
      </c>
      <c r="K14" s="28" t="s">
        <v>42</v>
      </c>
      <c r="L14" s="28" t="s">
        <v>42</v>
      </c>
      <c r="M14" s="28" t="s">
        <v>42</v>
      </c>
      <c r="N14" s="28" t="s">
        <v>44</v>
      </c>
      <c r="O14" s="28" t="s">
        <v>42</v>
      </c>
      <c r="P14" s="23" t="str">
        <f t="shared" si="4"/>
        <v>WO</v>
      </c>
      <c r="Q14" s="28" t="s">
        <v>42</v>
      </c>
      <c r="R14" s="28" t="s">
        <v>42</v>
      </c>
      <c r="S14" s="28" t="s">
        <v>44</v>
      </c>
      <c r="T14" s="28" t="s">
        <v>42</v>
      </c>
      <c r="U14" s="28" t="s">
        <v>42</v>
      </c>
      <c r="V14" s="28" t="s">
        <v>42</v>
      </c>
      <c r="W14" s="23" t="str">
        <f t="shared" si="4"/>
        <v>WO</v>
      </c>
      <c r="X14" s="28" t="s">
        <v>42</v>
      </c>
      <c r="Y14" s="28" t="s">
        <v>42</v>
      </c>
      <c r="Z14" s="28" t="s">
        <v>42</v>
      </c>
      <c r="AA14" s="28" t="s">
        <v>42</v>
      </c>
      <c r="AB14" s="28" t="s">
        <v>42</v>
      </c>
      <c r="AC14" s="28" t="s">
        <v>42</v>
      </c>
      <c r="AD14" s="23" t="str">
        <f t="shared" si="4"/>
        <v>WO</v>
      </c>
      <c r="AE14" s="28" t="s">
        <v>42</v>
      </c>
      <c r="AF14" s="28" t="s">
        <v>42</v>
      </c>
      <c r="AG14" s="28" t="s">
        <v>42</v>
      </c>
      <c r="AH14" s="28" t="s">
        <v>42</v>
      </c>
      <c r="AI14" s="28" t="s">
        <v>42</v>
      </c>
      <c r="AJ14" s="28" t="s">
        <v>42</v>
      </c>
      <c r="AK14" s="23" t="str">
        <f t="shared" si="4"/>
        <v>WO</v>
      </c>
      <c r="AL14" s="28" t="s">
        <v>42</v>
      </c>
      <c r="AM14" s="58" t="s">
        <v>42</v>
      </c>
      <c r="AN14" s="39"/>
      <c r="AO14" s="28">
        <v>8</v>
      </c>
      <c r="AP14" s="21">
        <v>1008</v>
      </c>
      <c r="AQ14" s="33" t="str">
        <f t="shared" si="5"/>
        <v>September</v>
      </c>
      <c r="AR14" s="21" t="s">
        <v>10</v>
      </c>
      <c r="AS14" s="29">
        <f t="shared" si="6"/>
        <v>24</v>
      </c>
      <c r="AT14" s="29">
        <f t="shared" si="7"/>
        <v>0</v>
      </c>
      <c r="AU14" s="29">
        <f t="shared" si="8"/>
        <v>2</v>
      </c>
      <c r="AV14" s="29">
        <f t="shared" si="9"/>
        <v>4</v>
      </c>
      <c r="AW14" s="30">
        <f t="shared" si="10"/>
        <v>30</v>
      </c>
      <c r="AX14" s="29">
        <f>SEPReport[[#This Row],[Days]]-SEPReport[[#This Row],[Adsent]]</f>
        <v>30</v>
      </c>
      <c r="AY14" s="31">
        <v>50000</v>
      </c>
      <c r="AZ14" s="32">
        <f>SEPReport[[#This Row],[Salary]]/SEPReport[[#This Row],[Days]]</f>
        <v>1666.6666666666667</v>
      </c>
      <c r="BA14" s="31">
        <f>SEPReport[[#This Row],[Perday salary]]*SEPReport[[#This Row],[Adsent]]</f>
        <v>0</v>
      </c>
      <c r="BB14" s="31">
        <f>SEPReport[[#This Row],[Salary]]-SEPReport[[#This Row],[Detuction ]]</f>
        <v>50000</v>
      </c>
      <c r="BC14" s="29"/>
      <c r="BD14" s="39"/>
      <c r="BE14" s="37"/>
      <c r="BF14" s="37"/>
      <c r="BG14" s="37"/>
      <c r="BH14" s="37"/>
      <c r="BI14" s="37"/>
      <c r="BJ14" s="37"/>
    </row>
    <row r="15" spans="4:67" x14ac:dyDescent="0.3">
      <c r="D15" s="37"/>
      <c r="E15" s="41"/>
      <c r="F15" s="20">
        <v>9</v>
      </c>
      <c r="G15" s="21">
        <v>1009</v>
      </c>
      <c r="H15" s="21" t="s">
        <v>11</v>
      </c>
      <c r="I15" s="20">
        <f t="shared" si="3"/>
        <v>4</v>
      </c>
      <c r="J15" s="28" t="s">
        <v>42</v>
      </c>
      <c r="K15" s="28" t="s">
        <v>42</v>
      </c>
      <c r="L15" s="28" t="s">
        <v>42</v>
      </c>
      <c r="M15" s="28" t="s">
        <v>42</v>
      </c>
      <c r="N15" s="28" t="s">
        <v>44</v>
      </c>
      <c r="O15" s="28" t="s">
        <v>42</v>
      </c>
      <c r="P15" s="23" t="str">
        <f t="shared" si="4"/>
        <v>WO</v>
      </c>
      <c r="Q15" s="28" t="s">
        <v>42</v>
      </c>
      <c r="R15" s="28" t="s">
        <v>42</v>
      </c>
      <c r="S15" s="28" t="s">
        <v>44</v>
      </c>
      <c r="T15" s="28" t="s">
        <v>42</v>
      </c>
      <c r="U15" s="28" t="s">
        <v>42</v>
      </c>
      <c r="V15" s="28" t="s">
        <v>42</v>
      </c>
      <c r="W15" s="23" t="str">
        <f t="shared" si="4"/>
        <v>WO</v>
      </c>
      <c r="X15" s="28" t="s">
        <v>42</v>
      </c>
      <c r="Y15" s="28" t="s">
        <v>42</v>
      </c>
      <c r="Z15" s="28" t="s">
        <v>42</v>
      </c>
      <c r="AA15" s="28" t="s">
        <v>42</v>
      </c>
      <c r="AB15" s="28" t="s">
        <v>42</v>
      </c>
      <c r="AC15" s="28" t="s">
        <v>42</v>
      </c>
      <c r="AD15" s="23" t="str">
        <f t="shared" ref="AD15:AK26" si="11">IF(AD$5="Sun","WO","")</f>
        <v>WO</v>
      </c>
      <c r="AE15" s="28" t="s">
        <v>42</v>
      </c>
      <c r="AF15" s="28" t="s">
        <v>42</v>
      </c>
      <c r="AG15" s="28" t="s">
        <v>42</v>
      </c>
      <c r="AH15" s="28" t="s">
        <v>42</v>
      </c>
      <c r="AI15" s="28" t="s">
        <v>42</v>
      </c>
      <c r="AJ15" s="28" t="s">
        <v>42</v>
      </c>
      <c r="AK15" s="23" t="str">
        <f t="shared" si="11"/>
        <v>WO</v>
      </c>
      <c r="AL15" s="28" t="s">
        <v>42</v>
      </c>
      <c r="AM15" s="58" t="s">
        <v>42</v>
      </c>
      <c r="AN15" s="39"/>
      <c r="AO15" s="28">
        <v>9</v>
      </c>
      <c r="AP15" s="21">
        <v>1009</v>
      </c>
      <c r="AQ15" s="33" t="str">
        <f t="shared" si="5"/>
        <v>September</v>
      </c>
      <c r="AR15" s="21" t="s">
        <v>11</v>
      </c>
      <c r="AS15" s="29">
        <f t="shared" si="6"/>
        <v>24</v>
      </c>
      <c r="AT15" s="29">
        <f t="shared" si="7"/>
        <v>0</v>
      </c>
      <c r="AU15" s="29">
        <f t="shared" si="8"/>
        <v>2</v>
      </c>
      <c r="AV15" s="29">
        <f t="shared" si="9"/>
        <v>4</v>
      </c>
      <c r="AW15" s="30">
        <f t="shared" si="10"/>
        <v>30</v>
      </c>
      <c r="AX15" s="29">
        <f>SEPReport[[#This Row],[Days]]-SEPReport[[#This Row],[Adsent]]</f>
        <v>30</v>
      </c>
      <c r="AY15" s="31">
        <v>25000</v>
      </c>
      <c r="AZ15" s="32">
        <f>SEPReport[[#This Row],[Salary]]/SEPReport[[#This Row],[Days]]</f>
        <v>833.33333333333337</v>
      </c>
      <c r="BA15" s="31">
        <f>SEPReport[[#This Row],[Perday salary]]*SEPReport[[#This Row],[Adsent]]</f>
        <v>0</v>
      </c>
      <c r="BB15" s="31">
        <f>SEPReport[[#This Row],[Salary]]-SEPReport[[#This Row],[Detuction ]]</f>
        <v>25000</v>
      </c>
      <c r="BC15" s="29"/>
      <c r="BD15" s="39"/>
      <c r="BE15" s="37"/>
      <c r="BF15" s="37"/>
      <c r="BG15" s="37"/>
      <c r="BH15" s="37"/>
      <c r="BI15" s="37"/>
      <c r="BJ15" s="37"/>
    </row>
    <row r="16" spans="4:67" x14ac:dyDescent="0.3">
      <c r="D16" s="37"/>
      <c r="E16" s="41"/>
      <c r="F16" s="20">
        <v>10</v>
      </c>
      <c r="G16" s="21">
        <v>1010</v>
      </c>
      <c r="H16" s="21" t="s">
        <v>12</v>
      </c>
      <c r="I16" s="20">
        <f t="shared" si="3"/>
        <v>4</v>
      </c>
      <c r="J16" s="28" t="s">
        <v>42</v>
      </c>
      <c r="K16" s="28" t="s">
        <v>43</v>
      </c>
      <c r="L16" s="28" t="s">
        <v>42</v>
      </c>
      <c r="M16" s="28" t="s">
        <v>42</v>
      </c>
      <c r="N16" s="28" t="s">
        <v>44</v>
      </c>
      <c r="O16" s="28" t="s">
        <v>42</v>
      </c>
      <c r="P16" s="23" t="str">
        <f t="shared" ref="P16:W26" si="12">IF(P$5="Sun","WO","")</f>
        <v>WO</v>
      </c>
      <c r="Q16" s="28" t="s">
        <v>42</v>
      </c>
      <c r="R16" s="28" t="s">
        <v>42</v>
      </c>
      <c r="S16" s="28" t="s">
        <v>44</v>
      </c>
      <c r="T16" s="28" t="s">
        <v>42</v>
      </c>
      <c r="U16" s="28" t="s">
        <v>42</v>
      </c>
      <c r="V16" s="28" t="s">
        <v>42</v>
      </c>
      <c r="W16" s="23" t="str">
        <f t="shared" si="12"/>
        <v>WO</v>
      </c>
      <c r="X16" s="28" t="s">
        <v>42</v>
      </c>
      <c r="Y16" s="28" t="s">
        <v>42</v>
      </c>
      <c r="Z16" s="28" t="s">
        <v>42</v>
      </c>
      <c r="AA16" s="28" t="s">
        <v>42</v>
      </c>
      <c r="AB16" s="28" t="s">
        <v>42</v>
      </c>
      <c r="AC16" s="28" t="s">
        <v>42</v>
      </c>
      <c r="AD16" s="23" t="str">
        <f t="shared" si="11"/>
        <v>WO</v>
      </c>
      <c r="AE16" s="28" t="s">
        <v>42</v>
      </c>
      <c r="AF16" s="28" t="s">
        <v>42</v>
      </c>
      <c r="AG16" s="28" t="s">
        <v>42</v>
      </c>
      <c r="AH16" s="28" t="s">
        <v>42</v>
      </c>
      <c r="AI16" s="28" t="s">
        <v>43</v>
      </c>
      <c r="AJ16" s="28" t="s">
        <v>42</v>
      </c>
      <c r="AK16" s="23" t="str">
        <f t="shared" si="11"/>
        <v>WO</v>
      </c>
      <c r="AL16" s="28" t="s">
        <v>42</v>
      </c>
      <c r="AM16" s="58" t="s">
        <v>42</v>
      </c>
      <c r="AN16" s="39"/>
      <c r="AO16" s="28">
        <v>10</v>
      </c>
      <c r="AP16" s="21">
        <v>1010</v>
      </c>
      <c r="AQ16" s="33" t="str">
        <f t="shared" si="5"/>
        <v>September</v>
      </c>
      <c r="AR16" s="21" t="s">
        <v>12</v>
      </c>
      <c r="AS16" s="29">
        <f t="shared" si="6"/>
        <v>22</v>
      </c>
      <c r="AT16" s="29">
        <f t="shared" si="7"/>
        <v>2</v>
      </c>
      <c r="AU16" s="29">
        <f t="shared" si="8"/>
        <v>2</v>
      </c>
      <c r="AV16" s="29">
        <f t="shared" si="9"/>
        <v>4</v>
      </c>
      <c r="AW16" s="30">
        <f t="shared" si="10"/>
        <v>30</v>
      </c>
      <c r="AX16" s="29">
        <f>SEPReport[[#This Row],[Days]]-SEPReport[[#This Row],[Adsent]]</f>
        <v>28</v>
      </c>
      <c r="AY16" s="31">
        <v>45000</v>
      </c>
      <c r="AZ16" s="32">
        <f>SEPReport[[#This Row],[Salary]]/SEPReport[[#This Row],[Days]]</f>
        <v>1500</v>
      </c>
      <c r="BA16" s="31">
        <f>SEPReport[[#This Row],[Perday salary]]*SEPReport[[#This Row],[Adsent]]</f>
        <v>3000</v>
      </c>
      <c r="BB16" s="31">
        <f>SEPReport[[#This Row],[Salary]]-SEPReport[[#This Row],[Detuction ]]</f>
        <v>42000</v>
      </c>
      <c r="BC16" s="29"/>
      <c r="BD16" s="39"/>
      <c r="BE16" s="37"/>
      <c r="BF16" s="37"/>
      <c r="BG16" s="37"/>
      <c r="BH16" s="37"/>
      <c r="BI16" s="37"/>
      <c r="BJ16" s="37"/>
    </row>
    <row r="17" spans="1:62" x14ac:dyDescent="0.3">
      <c r="D17" s="37"/>
      <c r="E17" s="41"/>
      <c r="F17" s="20">
        <v>11</v>
      </c>
      <c r="G17" s="21">
        <v>1011</v>
      </c>
      <c r="H17" s="21" t="s">
        <v>13</v>
      </c>
      <c r="I17" s="20">
        <f t="shared" si="3"/>
        <v>4</v>
      </c>
      <c r="J17" s="28" t="s">
        <v>42</v>
      </c>
      <c r="K17" s="28" t="s">
        <v>42</v>
      </c>
      <c r="L17" s="28" t="s">
        <v>42</v>
      </c>
      <c r="M17" s="28" t="s">
        <v>42</v>
      </c>
      <c r="N17" s="28" t="s">
        <v>44</v>
      </c>
      <c r="O17" s="28" t="s">
        <v>42</v>
      </c>
      <c r="P17" s="23" t="str">
        <f t="shared" si="12"/>
        <v>WO</v>
      </c>
      <c r="Q17" s="28" t="s">
        <v>42</v>
      </c>
      <c r="R17" s="28" t="s">
        <v>42</v>
      </c>
      <c r="S17" s="28" t="s">
        <v>44</v>
      </c>
      <c r="T17" s="28" t="s">
        <v>42</v>
      </c>
      <c r="U17" s="28" t="s">
        <v>42</v>
      </c>
      <c r="V17" s="28" t="s">
        <v>42</v>
      </c>
      <c r="W17" s="23" t="str">
        <f t="shared" si="12"/>
        <v>WO</v>
      </c>
      <c r="X17" s="28" t="s">
        <v>42</v>
      </c>
      <c r="Y17" s="28" t="s">
        <v>42</v>
      </c>
      <c r="Z17" s="28" t="s">
        <v>42</v>
      </c>
      <c r="AA17" s="28" t="s">
        <v>42</v>
      </c>
      <c r="AB17" s="28" t="s">
        <v>42</v>
      </c>
      <c r="AC17" s="28" t="s">
        <v>42</v>
      </c>
      <c r="AD17" s="23" t="str">
        <f t="shared" si="11"/>
        <v>WO</v>
      </c>
      <c r="AE17" s="28" t="s">
        <v>42</v>
      </c>
      <c r="AF17" s="28" t="s">
        <v>42</v>
      </c>
      <c r="AG17" s="28" t="s">
        <v>42</v>
      </c>
      <c r="AH17" s="28" t="s">
        <v>42</v>
      </c>
      <c r="AI17" s="28" t="s">
        <v>42</v>
      </c>
      <c r="AJ17" s="28" t="s">
        <v>42</v>
      </c>
      <c r="AK17" s="23" t="str">
        <f t="shared" si="11"/>
        <v>WO</v>
      </c>
      <c r="AL17" s="28" t="s">
        <v>42</v>
      </c>
      <c r="AM17" s="58" t="s">
        <v>42</v>
      </c>
      <c r="AN17" s="39"/>
      <c r="AO17" s="28">
        <v>11</v>
      </c>
      <c r="AP17" s="21">
        <v>1011</v>
      </c>
      <c r="AQ17" s="33" t="str">
        <f t="shared" si="5"/>
        <v>September</v>
      </c>
      <c r="AR17" s="21" t="s">
        <v>13</v>
      </c>
      <c r="AS17" s="29">
        <f t="shared" si="6"/>
        <v>24</v>
      </c>
      <c r="AT17" s="29">
        <f t="shared" si="7"/>
        <v>0</v>
      </c>
      <c r="AU17" s="29">
        <f t="shared" si="8"/>
        <v>2</v>
      </c>
      <c r="AV17" s="29">
        <f t="shared" si="9"/>
        <v>4</v>
      </c>
      <c r="AW17" s="30">
        <f t="shared" si="10"/>
        <v>30</v>
      </c>
      <c r="AX17" s="29">
        <f>SEPReport[[#This Row],[Days]]-SEPReport[[#This Row],[Adsent]]</f>
        <v>30</v>
      </c>
      <c r="AY17" s="31">
        <v>48000</v>
      </c>
      <c r="AZ17" s="32">
        <f>SEPReport[[#This Row],[Salary]]/SEPReport[[#This Row],[Days]]</f>
        <v>1600</v>
      </c>
      <c r="BA17" s="31">
        <f>SEPReport[[#This Row],[Perday salary]]*SEPReport[[#This Row],[Adsent]]</f>
        <v>0</v>
      </c>
      <c r="BB17" s="31">
        <f>SEPReport[[#This Row],[Salary]]-SEPReport[[#This Row],[Detuction ]]</f>
        <v>48000</v>
      </c>
      <c r="BC17" s="29"/>
      <c r="BD17" s="39"/>
      <c r="BE17" s="37"/>
      <c r="BF17" s="37"/>
      <c r="BG17" s="37"/>
      <c r="BH17" s="37"/>
      <c r="BI17" s="37"/>
      <c r="BJ17" s="37"/>
    </row>
    <row r="18" spans="1:62" x14ac:dyDescent="0.3">
      <c r="D18" s="37"/>
      <c r="E18" s="41"/>
      <c r="F18" s="20">
        <v>12</v>
      </c>
      <c r="G18" s="21">
        <v>1012</v>
      </c>
      <c r="H18" s="21" t="s">
        <v>14</v>
      </c>
      <c r="I18" s="20">
        <f t="shared" si="3"/>
        <v>4</v>
      </c>
      <c r="J18" s="28" t="s">
        <v>42</v>
      </c>
      <c r="K18" s="28" t="s">
        <v>42</v>
      </c>
      <c r="L18" s="28" t="s">
        <v>42</v>
      </c>
      <c r="M18" s="28" t="s">
        <v>42</v>
      </c>
      <c r="N18" s="28" t="s">
        <v>44</v>
      </c>
      <c r="O18" s="28" t="s">
        <v>42</v>
      </c>
      <c r="P18" s="23" t="str">
        <f t="shared" si="12"/>
        <v>WO</v>
      </c>
      <c r="Q18" s="28" t="s">
        <v>42</v>
      </c>
      <c r="R18" s="28" t="s">
        <v>42</v>
      </c>
      <c r="S18" s="28" t="s">
        <v>44</v>
      </c>
      <c r="T18" s="28" t="s">
        <v>42</v>
      </c>
      <c r="U18" s="28" t="s">
        <v>42</v>
      </c>
      <c r="V18" s="28" t="s">
        <v>42</v>
      </c>
      <c r="W18" s="23" t="str">
        <f t="shared" si="12"/>
        <v>WO</v>
      </c>
      <c r="X18" s="28" t="s">
        <v>42</v>
      </c>
      <c r="Y18" s="28" t="s">
        <v>42</v>
      </c>
      <c r="Z18" s="28" t="s">
        <v>42</v>
      </c>
      <c r="AA18" s="28" t="s">
        <v>42</v>
      </c>
      <c r="AB18" s="28" t="s">
        <v>42</v>
      </c>
      <c r="AC18" s="28" t="s">
        <v>42</v>
      </c>
      <c r="AD18" s="23" t="str">
        <f t="shared" si="11"/>
        <v>WO</v>
      </c>
      <c r="AE18" s="28" t="s">
        <v>42</v>
      </c>
      <c r="AF18" s="28" t="s">
        <v>42</v>
      </c>
      <c r="AG18" s="28" t="s">
        <v>42</v>
      </c>
      <c r="AH18" s="28" t="s">
        <v>42</v>
      </c>
      <c r="AI18" s="28" t="s">
        <v>42</v>
      </c>
      <c r="AJ18" s="28" t="s">
        <v>42</v>
      </c>
      <c r="AK18" s="23" t="str">
        <f t="shared" si="11"/>
        <v>WO</v>
      </c>
      <c r="AL18" s="28" t="s">
        <v>42</v>
      </c>
      <c r="AM18" s="58" t="s">
        <v>42</v>
      </c>
      <c r="AN18" s="39"/>
      <c r="AO18" s="28">
        <v>12</v>
      </c>
      <c r="AP18" s="21">
        <v>1012</v>
      </c>
      <c r="AQ18" s="33" t="str">
        <f t="shared" si="5"/>
        <v>September</v>
      </c>
      <c r="AR18" s="21" t="s">
        <v>14</v>
      </c>
      <c r="AS18" s="29">
        <f t="shared" si="6"/>
        <v>24</v>
      </c>
      <c r="AT18" s="29">
        <f t="shared" si="7"/>
        <v>0</v>
      </c>
      <c r="AU18" s="29">
        <f t="shared" si="8"/>
        <v>2</v>
      </c>
      <c r="AV18" s="29">
        <f t="shared" si="9"/>
        <v>4</v>
      </c>
      <c r="AW18" s="30">
        <f t="shared" si="10"/>
        <v>30</v>
      </c>
      <c r="AX18" s="29">
        <f>SEPReport[[#This Row],[Days]]-SEPReport[[#This Row],[Adsent]]</f>
        <v>30</v>
      </c>
      <c r="AY18" s="31">
        <v>52000</v>
      </c>
      <c r="AZ18" s="32">
        <f>SEPReport[[#This Row],[Salary]]/SEPReport[[#This Row],[Days]]</f>
        <v>1733.3333333333333</v>
      </c>
      <c r="BA18" s="31">
        <f>SEPReport[[#This Row],[Perday salary]]*SEPReport[[#This Row],[Adsent]]</f>
        <v>0</v>
      </c>
      <c r="BB18" s="31">
        <f>SEPReport[[#This Row],[Salary]]-SEPReport[[#This Row],[Detuction ]]</f>
        <v>52000</v>
      </c>
      <c r="BC18" s="29"/>
      <c r="BD18" s="39"/>
      <c r="BE18" s="37"/>
      <c r="BF18" s="37"/>
      <c r="BG18" s="37"/>
      <c r="BH18" s="37"/>
      <c r="BI18" s="37"/>
      <c r="BJ18" s="37"/>
    </row>
    <row r="19" spans="1:62" x14ac:dyDescent="0.3">
      <c r="D19" s="37"/>
      <c r="E19" s="41"/>
      <c r="F19" s="20">
        <v>13</v>
      </c>
      <c r="G19" s="21">
        <v>1013</v>
      </c>
      <c r="H19" s="21" t="s">
        <v>15</v>
      </c>
      <c r="I19" s="20">
        <f t="shared" si="3"/>
        <v>4</v>
      </c>
      <c r="J19" s="28" t="s">
        <v>42</v>
      </c>
      <c r="K19" s="28" t="s">
        <v>42</v>
      </c>
      <c r="L19" s="28" t="s">
        <v>42</v>
      </c>
      <c r="M19" s="28" t="s">
        <v>42</v>
      </c>
      <c r="N19" s="28" t="s">
        <v>44</v>
      </c>
      <c r="O19" s="28" t="s">
        <v>42</v>
      </c>
      <c r="P19" s="23" t="str">
        <f t="shared" si="12"/>
        <v>WO</v>
      </c>
      <c r="Q19" s="28" t="s">
        <v>42</v>
      </c>
      <c r="R19" s="28" t="s">
        <v>42</v>
      </c>
      <c r="S19" s="28" t="s">
        <v>44</v>
      </c>
      <c r="T19" s="28" t="s">
        <v>42</v>
      </c>
      <c r="U19" s="28" t="s">
        <v>42</v>
      </c>
      <c r="V19" s="28" t="s">
        <v>42</v>
      </c>
      <c r="W19" s="23" t="str">
        <f t="shared" si="12"/>
        <v>WO</v>
      </c>
      <c r="X19" s="28" t="s">
        <v>42</v>
      </c>
      <c r="Y19" s="28" t="s">
        <v>42</v>
      </c>
      <c r="Z19" s="28" t="s">
        <v>42</v>
      </c>
      <c r="AA19" s="28" t="s">
        <v>42</v>
      </c>
      <c r="AB19" s="28" t="s">
        <v>43</v>
      </c>
      <c r="AC19" s="28" t="s">
        <v>42</v>
      </c>
      <c r="AD19" s="23" t="str">
        <f t="shared" si="11"/>
        <v>WO</v>
      </c>
      <c r="AE19" s="28" t="s">
        <v>42</v>
      </c>
      <c r="AF19" s="28" t="s">
        <v>42</v>
      </c>
      <c r="AG19" s="28" t="s">
        <v>42</v>
      </c>
      <c r="AH19" s="28" t="s">
        <v>42</v>
      </c>
      <c r="AI19" s="28" t="s">
        <v>42</v>
      </c>
      <c r="AJ19" s="28" t="s">
        <v>42</v>
      </c>
      <c r="AK19" s="23" t="str">
        <f t="shared" si="11"/>
        <v>WO</v>
      </c>
      <c r="AL19" s="28" t="s">
        <v>42</v>
      </c>
      <c r="AM19" s="58" t="s">
        <v>42</v>
      </c>
      <c r="AN19" s="39"/>
      <c r="AO19" s="28">
        <v>13</v>
      </c>
      <c r="AP19" s="21">
        <v>1013</v>
      </c>
      <c r="AQ19" s="33" t="str">
        <f t="shared" si="5"/>
        <v>September</v>
      </c>
      <c r="AR19" s="21" t="s">
        <v>15</v>
      </c>
      <c r="AS19" s="29">
        <f t="shared" si="6"/>
        <v>23</v>
      </c>
      <c r="AT19" s="29">
        <f t="shared" si="7"/>
        <v>1</v>
      </c>
      <c r="AU19" s="29">
        <f t="shared" si="8"/>
        <v>2</v>
      </c>
      <c r="AV19" s="29">
        <f t="shared" si="9"/>
        <v>4</v>
      </c>
      <c r="AW19" s="30">
        <f t="shared" si="10"/>
        <v>30</v>
      </c>
      <c r="AX19" s="29">
        <f>SEPReport[[#This Row],[Days]]-SEPReport[[#This Row],[Adsent]]</f>
        <v>29</v>
      </c>
      <c r="AY19" s="31">
        <v>42000</v>
      </c>
      <c r="AZ19" s="32">
        <f>SEPReport[[#This Row],[Salary]]/SEPReport[[#This Row],[Days]]</f>
        <v>1400</v>
      </c>
      <c r="BA19" s="31">
        <f>SEPReport[[#This Row],[Perday salary]]*SEPReport[[#This Row],[Adsent]]</f>
        <v>1400</v>
      </c>
      <c r="BB19" s="31">
        <f>SEPReport[[#This Row],[Salary]]-SEPReport[[#This Row],[Detuction ]]</f>
        <v>40600</v>
      </c>
      <c r="BC19" s="29"/>
      <c r="BD19" s="39"/>
      <c r="BE19" s="37"/>
      <c r="BF19" s="37"/>
      <c r="BG19" s="37"/>
      <c r="BH19" s="37"/>
      <c r="BI19" s="37"/>
      <c r="BJ19" s="37"/>
    </row>
    <row r="20" spans="1:62" x14ac:dyDescent="0.3">
      <c r="D20" s="37"/>
      <c r="E20" s="41"/>
      <c r="F20" s="20">
        <v>14</v>
      </c>
      <c r="G20" s="21">
        <v>1014</v>
      </c>
      <c r="H20" s="21" t="s">
        <v>16</v>
      </c>
      <c r="I20" s="20">
        <f t="shared" si="3"/>
        <v>4</v>
      </c>
      <c r="J20" s="28" t="s">
        <v>42</v>
      </c>
      <c r="K20" s="28" t="s">
        <v>43</v>
      </c>
      <c r="L20" s="28" t="s">
        <v>42</v>
      </c>
      <c r="M20" s="28" t="s">
        <v>42</v>
      </c>
      <c r="N20" s="28" t="s">
        <v>44</v>
      </c>
      <c r="O20" s="28" t="s">
        <v>42</v>
      </c>
      <c r="P20" s="23" t="str">
        <f t="shared" si="12"/>
        <v>WO</v>
      </c>
      <c r="Q20" s="28" t="s">
        <v>42</v>
      </c>
      <c r="R20" s="28" t="s">
        <v>42</v>
      </c>
      <c r="S20" s="28" t="s">
        <v>44</v>
      </c>
      <c r="T20" s="28" t="s">
        <v>42</v>
      </c>
      <c r="U20" s="28" t="s">
        <v>42</v>
      </c>
      <c r="V20" s="28" t="s">
        <v>42</v>
      </c>
      <c r="W20" s="23" t="str">
        <f t="shared" si="12"/>
        <v>WO</v>
      </c>
      <c r="X20" s="28" t="s">
        <v>42</v>
      </c>
      <c r="Y20" s="28" t="s">
        <v>42</v>
      </c>
      <c r="Z20" s="28" t="s">
        <v>42</v>
      </c>
      <c r="AA20" s="28" t="s">
        <v>42</v>
      </c>
      <c r="AB20" s="28" t="s">
        <v>42</v>
      </c>
      <c r="AC20" s="28" t="s">
        <v>42</v>
      </c>
      <c r="AD20" s="23" t="str">
        <f t="shared" si="11"/>
        <v>WO</v>
      </c>
      <c r="AE20" s="28" t="s">
        <v>42</v>
      </c>
      <c r="AF20" s="28" t="s">
        <v>42</v>
      </c>
      <c r="AG20" s="28" t="s">
        <v>42</v>
      </c>
      <c r="AH20" s="28" t="s">
        <v>42</v>
      </c>
      <c r="AI20" s="28" t="s">
        <v>42</v>
      </c>
      <c r="AJ20" s="28" t="s">
        <v>42</v>
      </c>
      <c r="AK20" s="23" t="str">
        <f t="shared" si="11"/>
        <v>WO</v>
      </c>
      <c r="AL20" s="28" t="s">
        <v>42</v>
      </c>
      <c r="AM20" s="58" t="s">
        <v>42</v>
      </c>
      <c r="AN20" s="39"/>
      <c r="AO20" s="28">
        <v>14</v>
      </c>
      <c r="AP20" s="21">
        <v>1014</v>
      </c>
      <c r="AQ20" s="33" t="str">
        <f t="shared" si="5"/>
        <v>September</v>
      </c>
      <c r="AR20" s="21" t="s">
        <v>16</v>
      </c>
      <c r="AS20" s="29">
        <f t="shared" si="6"/>
        <v>23</v>
      </c>
      <c r="AT20" s="29">
        <f t="shared" si="7"/>
        <v>1</v>
      </c>
      <c r="AU20" s="29">
        <f t="shared" si="8"/>
        <v>2</v>
      </c>
      <c r="AV20" s="29">
        <f t="shared" si="9"/>
        <v>4</v>
      </c>
      <c r="AW20" s="30">
        <f t="shared" si="10"/>
        <v>30</v>
      </c>
      <c r="AX20" s="29">
        <f>SEPReport[[#This Row],[Days]]-SEPReport[[#This Row],[Adsent]]</f>
        <v>29</v>
      </c>
      <c r="AY20" s="31">
        <v>15000</v>
      </c>
      <c r="AZ20" s="32">
        <f>SEPReport[[#This Row],[Salary]]/SEPReport[[#This Row],[Days]]</f>
        <v>500</v>
      </c>
      <c r="BA20" s="31">
        <f>SEPReport[[#This Row],[Perday salary]]*SEPReport[[#This Row],[Adsent]]</f>
        <v>500</v>
      </c>
      <c r="BB20" s="31">
        <f>SEPReport[[#This Row],[Salary]]-SEPReport[[#This Row],[Detuction ]]</f>
        <v>14500</v>
      </c>
      <c r="BC20" s="29"/>
      <c r="BD20" s="39"/>
      <c r="BE20" s="37"/>
      <c r="BF20" s="37"/>
      <c r="BG20" s="37"/>
      <c r="BH20" s="37"/>
      <c r="BI20" s="37"/>
      <c r="BJ20" s="37"/>
    </row>
    <row r="21" spans="1:62" x14ac:dyDescent="0.3">
      <c r="D21" s="37"/>
      <c r="E21" s="41"/>
      <c r="F21" s="20">
        <v>15</v>
      </c>
      <c r="G21" s="21">
        <v>1015</v>
      </c>
      <c r="H21" s="21" t="s">
        <v>17</v>
      </c>
      <c r="I21" s="20">
        <f t="shared" si="3"/>
        <v>4</v>
      </c>
      <c r="J21" s="28" t="s">
        <v>42</v>
      </c>
      <c r="K21" s="28" t="s">
        <v>43</v>
      </c>
      <c r="L21" s="28" t="s">
        <v>42</v>
      </c>
      <c r="M21" s="28" t="s">
        <v>42</v>
      </c>
      <c r="N21" s="28" t="s">
        <v>44</v>
      </c>
      <c r="O21" s="28" t="s">
        <v>42</v>
      </c>
      <c r="P21" s="23" t="str">
        <f t="shared" si="12"/>
        <v>WO</v>
      </c>
      <c r="Q21" s="28" t="s">
        <v>42</v>
      </c>
      <c r="R21" s="28" t="s">
        <v>42</v>
      </c>
      <c r="S21" s="28" t="s">
        <v>44</v>
      </c>
      <c r="T21" s="28" t="s">
        <v>42</v>
      </c>
      <c r="U21" s="28" t="s">
        <v>42</v>
      </c>
      <c r="V21" s="28" t="s">
        <v>42</v>
      </c>
      <c r="W21" s="23" t="str">
        <f t="shared" si="12"/>
        <v>WO</v>
      </c>
      <c r="X21" s="28" t="s">
        <v>42</v>
      </c>
      <c r="Y21" s="28" t="s">
        <v>42</v>
      </c>
      <c r="Z21" s="28" t="s">
        <v>42</v>
      </c>
      <c r="AA21" s="28" t="s">
        <v>43</v>
      </c>
      <c r="AB21" s="28" t="s">
        <v>42</v>
      </c>
      <c r="AC21" s="28" t="s">
        <v>42</v>
      </c>
      <c r="AD21" s="23" t="str">
        <f t="shared" si="11"/>
        <v>WO</v>
      </c>
      <c r="AE21" s="28" t="s">
        <v>42</v>
      </c>
      <c r="AF21" s="28" t="s">
        <v>42</v>
      </c>
      <c r="AG21" s="28" t="s">
        <v>42</v>
      </c>
      <c r="AH21" s="28" t="s">
        <v>42</v>
      </c>
      <c r="AI21" s="28" t="s">
        <v>42</v>
      </c>
      <c r="AJ21" s="28" t="s">
        <v>42</v>
      </c>
      <c r="AK21" s="23" t="str">
        <f t="shared" si="11"/>
        <v>WO</v>
      </c>
      <c r="AL21" s="28" t="s">
        <v>42</v>
      </c>
      <c r="AM21" s="58" t="s">
        <v>42</v>
      </c>
      <c r="AN21" s="39"/>
      <c r="AO21" s="28">
        <v>15</v>
      </c>
      <c r="AP21" s="21">
        <v>1015</v>
      </c>
      <c r="AQ21" s="33" t="str">
        <f t="shared" si="5"/>
        <v>September</v>
      </c>
      <c r="AR21" s="21" t="s">
        <v>17</v>
      </c>
      <c r="AS21" s="29">
        <f t="shared" si="6"/>
        <v>22</v>
      </c>
      <c r="AT21" s="29">
        <f t="shared" si="7"/>
        <v>2</v>
      </c>
      <c r="AU21" s="29">
        <f t="shared" si="8"/>
        <v>2</v>
      </c>
      <c r="AV21" s="29">
        <f t="shared" si="9"/>
        <v>4</v>
      </c>
      <c r="AW21" s="30">
        <f t="shared" si="10"/>
        <v>30</v>
      </c>
      <c r="AX21" s="29">
        <f>SEPReport[[#This Row],[Days]]-SEPReport[[#This Row],[Adsent]]</f>
        <v>28</v>
      </c>
      <c r="AY21" s="31">
        <v>46000</v>
      </c>
      <c r="AZ21" s="32">
        <f>SEPReport[[#This Row],[Salary]]/SEPReport[[#This Row],[Days]]</f>
        <v>1533.3333333333333</v>
      </c>
      <c r="BA21" s="31">
        <f>SEPReport[[#This Row],[Perday salary]]*SEPReport[[#This Row],[Adsent]]</f>
        <v>3066.6666666666665</v>
      </c>
      <c r="BB21" s="31">
        <f>SEPReport[[#This Row],[Salary]]-SEPReport[[#This Row],[Detuction ]]</f>
        <v>42933.333333333336</v>
      </c>
      <c r="BC21" s="29"/>
      <c r="BD21" s="39"/>
      <c r="BE21" s="37"/>
      <c r="BF21" s="37"/>
      <c r="BG21" s="37"/>
      <c r="BH21" s="37"/>
      <c r="BI21" s="37"/>
      <c r="BJ21" s="37"/>
    </row>
    <row r="22" spans="1:62" x14ac:dyDescent="0.3">
      <c r="D22" s="37"/>
      <c r="E22" s="41"/>
      <c r="F22" s="20">
        <v>16</v>
      </c>
      <c r="G22" s="21">
        <v>1016</v>
      </c>
      <c r="H22" s="21" t="s">
        <v>18</v>
      </c>
      <c r="I22" s="20">
        <f t="shared" si="3"/>
        <v>4</v>
      </c>
      <c r="J22" s="28" t="s">
        <v>42</v>
      </c>
      <c r="K22" s="28" t="s">
        <v>42</v>
      </c>
      <c r="L22" s="28" t="s">
        <v>42</v>
      </c>
      <c r="M22" s="28" t="s">
        <v>42</v>
      </c>
      <c r="N22" s="28" t="s">
        <v>44</v>
      </c>
      <c r="O22" s="28" t="s">
        <v>42</v>
      </c>
      <c r="P22" s="23" t="str">
        <f t="shared" si="12"/>
        <v>WO</v>
      </c>
      <c r="Q22" s="28" t="s">
        <v>42</v>
      </c>
      <c r="R22" s="28" t="s">
        <v>42</v>
      </c>
      <c r="S22" s="28" t="s">
        <v>44</v>
      </c>
      <c r="T22" s="28" t="s">
        <v>42</v>
      </c>
      <c r="U22" s="28" t="s">
        <v>42</v>
      </c>
      <c r="V22" s="28" t="s">
        <v>42</v>
      </c>
      <c r="W22" s="23" t="str">
        <f t="shared" si="12"/>
        <v>WO</v>
      </c>
      <c r="X22" s="28" t="s">
        <v>42</v>
      </c>
      <c r="Y22" s="28" t="s">
        <v>42</v>
      </c>
      <c r="Z22" s="28" t="s">
        <v>42</v>
      </c>
      <c r="AA22" s="28" t="s">
        <v>42</v>
      </c>
      <c r="AB22" s="28" t="s">
        <v>42</v>
      </c>
      <c r="AC22" s="28" t="s">
        <v>42</v>
      </c>
      <c r="AD22" s="23" t="str">
        <f t="shared" si="11"/>
        <v>WO</v>
      </c>
      <c r="AE22" s="28" t="s">
        <v>42</v>
      </c>
      <c r="AF22" s="28" t="s">
        <v>42</v>
      </c>
      <c r="AG22" s="28" t="s">
        <v>42</v>
      </c>
      <c r="AH22" s="28" t="s">
        <v>42</v>
      </c>
      <c r="AI22" s="28" t="s">
        <v>42</v>
      </c>
      <c r="AJ22" s="28" t="s">
        <v>42</v>
      </c>
      <c r="AK22" s="23" t="str">
        <f t="shared" si="11"/>
        <v>WO</v>
      </c>
      <c r="AL22" s="28" t="s">
        <v>42</v>
      </c>
      <c r="AM22" s="58" t="s">
        <v>42</v>
      </c>
      <c r="AN22" s="39"/>
      <c r="AO22" s="28">
        <v>16</v>
      </c>
      <c r="AP22" s="21">
        <v>1016</v>
      </c>
      <c r="AQ22" s="33" t="str">
        <f t="shared" si="5"/>
        <v>September</v>
      </c>
      <c r="AR22" s="21" t="s">
        <v>18</v>
      </c>
      <c r="AS22" s="29">
        <f t="shared" si="6"/>
        <v>24</v>
      </c>
      <c r="AT22" s="29">
        <f t="shared" si="7"/>
        <v>0</v>
      </c>
      <c r="AU22" s="29">
        <f t="shared" si="8"/>
        <v>2</v>
      </c>
      <c r="AV22" s="29">
        <f t="shared" si="9"/>
        <v>4</v>
      </c>
      <c r="AW22" s="30">
        <f t="shared" si="10"/>
        <v>30</v>
      </c>
      <c r="AX22" s="29">
        <f>SEPReport[[#This Row],[Days]]-SEPReport[[#This Row],[Adsent]]</f>
        <v>30</v>
      </c>
      <c r="AY22" s="31">
        <v>52000</v>
      </c>
      <c r="AZ22" s="32">
        <f>SEPReport[[#This Row],[Salary]]/SEPReport[[#This Row],[Days]]</f>
        <v>1733.3333333333333</v>
      </c>
      <c r="BA22" s="31">
        <f>SEPReport[[#This Row],[Perday salary]]*SEPReport[[#This Row],[Adsent]]</f>
        <v>0</v>
      </c>
      <c r="BB22" s="31">
        <f>SEPReport[[#This Row],[Salary]]-SEPReport[[#This Row],[Detuction ]]</f>
        <v>52000</v>
      </c>
      <c r="BC22" s="29"/>
      <c r="BD22" s="39"/>
      <c r="BE22" s="37"/>
      <c r="BF22" s="37"/>
      <c r="BG22" s="37"/>
      <c r="BH22" s="37"/>
      <c r="BI22" s="37"/>
      <c r="BJ22" s="37"/>
    </row>
    <row r="23" spans="1:62" x14ac:dyDescent="0.3">
      <c r="D23" s="37"/>
      <c r="E23" s="41"/>
      <c r="F23" s="20">
        <v>17</v>
      </c>
      <c r="G23" s="21">
        <v>1017</v>
      </c>
      <c r="H23" s="21" t="s">
        <v>19</v>
      </c>
      <c r="I23" s="20">
        <f t="shared" si="3"/>
        <v>4</v>
      </c>
      <c r="J23" s="28" t="s">
        <v>42</v>
      </c>
      <c r="K23" s="28" t="s">
        <v>42</v>
      </c>
      <c r="L23" s="28" t="s">
        <v>42</v>
      </c>
      <c r="M23" s="28" t="s">
        <v>42</v>
      </c>
      <c r="N23" s="28" t="s">
        <v>44</v>
      </c>
      <c r="O23" s="28" t="s">
        <v>42</v>
      </c>
      <c r="P23" s="23" t="str">
        <f t="shared" si="12"/>
        <v>WO</v>
      </c>
      <c r="Q23" s="28" t="s">
        <v>42</v>
      </c>
      <c r="R23" s="28" t="s">
        <v>42</v>
      </c>
      <c r="S23" s="28" t="s">
        <v>44</v>
      </c>
      <c r="T23" s="28" t="s">
        <v>42</v>
      </c>
      <c r="U23" s="28" t="s">
        <v>42</v>
      </c>
      <c r="V23" s="28" t="s">
        <v>42</v>
      </c>
      <c r="W23" s="23" t="str">
        <f t="shared" si="12"/>
        <v>WO</v>
      </c>
      <c r="X23" s="28" t="s">
        <v>42</v>
      </c>
      <c r="Y23" s="28" t="s">
        <v>42</v>
      </c>
      <c r="Z23" s="28" t="s">
        <v>42</v>
      </c>
      <c r="AA23" s="28" t="s">
        <v>42</v>
      </c>
      <c r="AB23" s="28" t="s">
        <v>42</v>
      </c>
      <c r="AC23" s="28" t="s">
        <v>42</v>
      </c>
      <c r="AD23" s="23" t="str">
        <f t="shared" si="11"/>
        <v>WO</v>
      </c>
      <c r="AE23" s="28" t="s">
        <v>42</v>
      </c>
      <c r="AF23" s="28" t="s">
        <v>42</v>
      </c>
      <c r="AG23" s="28" t="s">
        <v>42</v>
      </c>
      <c r="AH23" s="28" t="s">
        <v>42</v>
      </c>
      <c r="AI23" s="28" t="s">
        <v>42</v>
      </c>
      <c r="AJ23" s="28" t="s">
        <v>42</v>
      </c>
      <c r="AK23" s="23" t="str">
        <f t="shared" si="11"/>
        <v>WO</v>
      </c>
      <c r="AL23" s="28" t="s">
        <v>42</v>
      </c>
      <c r="AM23" s="58" t="s">
        <v>42</v>
      </c>
      <c r="AN23" s="39"/>
      <c r="AO23" s="28">
        <v>17</v>
      </c>
      <c r="AP23" s="21">
        <v>1017</v>
      </c>
      <c r="AQ23" s="33" t="str">
        <f t="shared" si="5"/>
        <v>September</v>
      </c>
      <c r="AR23" s="21" t="s">
        <v>19</v>
      </c>
      <c r="AS23" s="29">
        <f t="shared" si="6"/>
        <v>24</v>
      </c>
      <c r="AT23" s="29">
        <f t="shared" si="7"/>
        <v>0</v>
      </c>
      <c r="AU23" s="29">
        <f t="shared" si="8"/>
        <v>2</v>
      </c>
      <c r="AV23" s="29">
        <f t="shared" si="9"/>
        <v>4</v>
      </c>
      <c r="AW23" s="30">
        <f t="shared" si="10"/>
        <v>30</v>
      </c>
      <c r="AX23" s="29">
        <f>SEPReport[[#This Row],[Days]]-SEPReport[[#This Row],[Adsent]]</f>
        <v>30</v>
      </c>
      <c r="AY23" s="31">
        <v>42000</v>
      </c>
      <c r="AZ23" s="32">
        <f>SEPReport[[#This Row],[Salary]]/SEPReport[[#This Row],[Days]]</f>
        <v>1400</v>
      </c>
      <c r="BA23" s="31">
        <f>SEPReport[[#This Row],[Perday salary]]*SEPReport[[#This Row],[Adsent]]</f>
        <v>0</v>
      </c>
      <c r="BB23" s="31">
        <f>SEPReport[[#This Row],[Salary]]-SEPReport[[#This Row],[Detuction ]]</f>
        <v>42000</v>
      </c>
      <c r="BC23" s="29"/>
      <c r="BD23" s="39"/>
      <c r="BE23" s="37"/>
      <c r="BF23" s="37"/>
      <c r="BG23" s="37"/>
      <c r="BH23" s="37"/>
      <c r="BI23" s="37"/>
      <c r="BJ23" s="37"/>
    </row>
    <row r="24" spans="1:62" x14ac:dyDescent="0.3">
      <c r="D24" s="37"/>
      <c r="E24" s="41"/>
      <c r="F24" s="20">
        <v>18</v>
      </c>
      <c r="G24" s="21">
        <v>1018</v>
      </c>
      <c r="H24" s="21" t="s">
        <v>20</v>
      </c>
      <c r="I24" s="20">
        <f t="shared" si="3"/>
        <v>4</v>
      </c>
      <c r="J24" s="28" t="s">
        <v>42</v>
      </c>
      <c r="K24" s="28" t="s">
        <v>42</v>
      </c>
      <c r="L24" s="28" t="s">
        <v>42</v>
      </c>
      <c r="M24" s="28" t="s">
        <v>42</v>
      </c>
      <c r="N24" s="28" t="s">
        <v>44</v>
      </c>
      <c r="O24" s="28" t="s">
        <v>42</v>
      </c>
      <c r="P24" s="23" t="str">
        <f t="shared" si="12"/>
        <v>WO</v>
      </c>
      <c r="Q24" s="28" t="s">
        <v>42</v>
      </c>
      <c r="R24" s="28" t="s">
        <v>42</v>
      </c>
      <c r="S24" s="28" t="s">
        <v>44</v>
      </c>
      <c r="T24" s="28" t="s">
        <v>42</v>
      </c>
      <c r="U24" s="28" t="s">
        <v>42</v>
      </c>
      <c r="V24" s="28" t="s">
        <v>42</v>
      </c>
      <c r="W24" s="23" t="str">
        <f t="shared" si="12"/>
        <v>WO</v>
      </c>
      <c r="X24" s="28" t="s">
        <v>42</v>
      </c>
      <c r="Y24" s="28" t="s">
        <v>42</v>
      </c>
      <c r="Z24" s="28" t="s">
        <v>42</v>
      </c>
      <c r="AA24" s="28" t="s">
        <v>42</v>
      </c>
      <c r="AB24" s="28" t="s">
        <v>42</v>
      </c>
      <c r="AC24" s="28" t="s">
        <v>42</v>
      </c>
      <c r="AD24" s="23" t="str">
        <f t="shared" si="11"/>
        <v>WO</v>
      </c>
      <c r="AE24" s="28" t="s">
        <v>42</v>
      </c>
      <c r="AF24" s="28" t="s">
        <v>42</v>
      </c>
      <c r="AG24" s="28" t="s">
        <v>42</v>
      </c>
      <c r="AH24" s="28" t="s">
        <v>42</v>
      </c>
      <c r="AI24" s="28" t="s">
        <v>42</v>
      </c>
      <c r="AJ24" s="28" t="s">
        <v>42</v>
      </c>
      <c r="AK24" s="23" t="str">
        <f t="shared" si="11"/>
        <v>WO</v>
      </c>
      <c r="AL24" s="28" t="s">
        <v>42</v>
      </c>
      <c r="AM24" s="58" t="s">
        <v>42</v>
      </c>
      <c r="AN24" s="39"/>
      <c r="AO24" s="28">
        <v>18</v>
      </c>
      <c r="AP24" s="21">
        <v>1018</v>
      </c>
      <c r="AQ24" s="33" t="str">
        <f t="shared" si="5"/>
        <v>September</v>
      </c>
      <c r="AR24" s="21" t="s">
        <v>20</v>
      </c>
      <c r="AS24" s="29">
        <f t="shared" si="6"/>
        <v>24</v>
      </c>
      <c r="AT24" s="29">
        <f t="shared" si="7"/>
        <v>0</v>
      </c>
      <c r="AU24" s="29">
        <f t="shared" si="8"/>
        <v>2</v>
      </c>
      <c r="AV24" s="29">
        <f t="shared" si="9"/>
        <v>4</v>
      </c>
      <c r="AW24" s="30">
        <f t="shared" si="10"/>
        <v>30</v>
      </c>
      <c r="AX24" s="29">
        <f>SEPReport[[#This Row],[Days]]-SEPReport[[#This Row],[Adsent]]</f>
        <v>30</v>
      </c>
      <c r="AY24" s="31">
        <v>62000</v>
      </c>
      <c r="AZ24" s="32">
        <f>SEPReport[[#This Row],[Salary]]/SEPReport[[#This Row],[Days]]</f>
        <v>2066.6666666666665</v>
      </c>
      <c r="BA24" s="31">
        <f>SEPReport[[#This Row],[Perday salary]]*SEPReport[[#This Row],[Adsent]]</f>
        <v>0</v>
      </c>
      <c r="BB24" s="31">
        <f>SEPReport[[#This Row],[Salary]]-SEPReport[[#This Row],[Detuction ]]</f>
        <v>62000</v>
      </c>
      <c r="BC24" s="29"/>
      <c r="BD24" s="39"/>
      <c r="BE24" s="37"/>
      <c r="BF24" s="37"/>
      <c r="BG24" s="37"/>
      <c r="BH24" s="37"/>
      <c r="BI24" s="37"/>
      <c r="BJ24" s="37"/>
    </row>
    <row r="25" spans="1:62" x14ac:dyDescent="0.3">
      <c r="D25" s="37"/>
      <c r="E25" s="41"/>
      <c r="F25" s="20">
        <v>19</v>
      </c>
      <c r="G25" s="21">
        <v>1019</v>
      </c>
      <c r="H25" s="21" t="s">
        <v>21</v>
      </c>
      <c r="I25" s="20">
        <f t="shared" si="3"/>
        <v>4</v>
      </c>
      <c r="J25" s="28" t="s">
        <v>42</v>
      </c>
      <c r="K25" s="28" t="s">
        <v>42</v>
      </c>
      <c r="L25" s="28" t="s">
        <v>42</v>
      </c>
      <c r="M25" s="28" t="s">
        <v>42</v>
      </c>
      <c r="N25" s="28" t="s">
        <v>44</v>
      </c>
      <c r="O25" s="28" t="s">
        <v>42</v>
      </c>
      <c r="P25" s="23" t="str">
        <f t="shared" si="12"/>
        <v>WO</v>
      </c>
      <c r="Q25" s="28" t="s">
        <v>42</v>
      </c>
      <c r="R25" s="28" t="s">
        <v>42</v>
      </c>
      <c r="S25" s="28" t="s">
        <v>44</v>
      </c>
      <c r="T25" s="28" t="s">
        <v>42</v>
      </c>
      <c r="U25" s="28" t="s">
        <v>42</v>
      </c>
      <c r="V25" s="28" t="s">
        <v>42</v>
      </c>
      <c r="W25" s="23" t="str">
        <f t="shared" si="12"/>
        <v>WO</v>
      </c>
      <c r="X25" s="28" t="s">
        <v>42</v>
      </c>
      <c r="Y25" s="28" t="s">
        <v>42</v>
      </c>
      <c r="Z25" s="28" t="s">
        <v>42</v>
      </c>
      <c r="AA25" s="28" t="s">
        <v>42</v>
      </c>
      <c r="AB25" s="28" t="s">
        <v>42</v>
      </c>
      <c r="AC25" s="28" t="s">
        <v>42</v>
      </c>
      <c r="AD25" s="23" t="str">
        <f t="shared" si="11"/>
        <v>WO</v>
      </c>
      <c r="AE25" s="28" t="s">
        <v>42</v>
      </c>
      <c r="AF25" s="28" t="s">
        <v>42</v>
      </c>
      <c r="AG25" s="28" t="s">
        <v>42</v>
      </c>
      <c r="AH25" s="28" t="s">
        <v>42</v>
      </c>
      <c r="AI25" s="28" t="s">
        <v>42</v>
      </c>
      <c r="AJ25" s="28" t="s">
        <v>42</v>
      </c>
      <c r="AK25" s="23" t="str">
        <f t="shared" si="11"/>
        <v>WO</v>
      </c>
      <c r="AL25" s="28" t="s">
        <v>42</v>
      </c>
      <c r="AM25" s="58" t="s">
        <v>42</v>
      </c>
      <c r="AN25" s="39"/>
      <c r="AO25" s="28">
        <v>19</v>
      </c>
      <c r="AP25" s="21">
        <v>1019</v>
      </c>
      <c r="AQ25" s="33" t="str">
        <f t="shared" si="5"/>
        <v>September</v>
      </c>
      <c r="AR25" s="21" t="s">
        <v>21</v>
      </c>
      <c r="AS25" s="29">
        <f t="shared" si="6"/>
        <v>24</v>
      </c>
      <c r="AT25" s="29">
        <f t="shared" si="7"/>
        <v>0</v>
      </c>
      <c r="AU25" s="29">
        <f t="shared" si="8"/>
        <v>2</v>
      </c>
      <c r="AV25" s="29">
        <f t="shared" si="9"/>
        <v>4</v>
      </c>
      <c r="AW25" s="30">
        <f t="shared" si="10"/>
        <v>30</v>
      </c>
      <c r="AX25" s="29">
        <f>SEPReport[[#This Row],[Days]]-SEPReport[[#This Row],[Adsent]]</f>
        <v>30</v>
      </c>
      <c r="AY25" s="31">
        <v>41000</v>
      </c>
      <c r="AZ25" s="32">
        <f>SEPReport[[#This Row],[Salary]]/SEPReport[[#This Row],[Days]]</f>
        <v>1366.6666666666667</v>
      </c>
      <c r="BA25" s="31">
        <f>SEPReport[[#This Row],[Perday salary]]*SEPReport[[#This Row],[Adsent]]</f>
        <v>0</v>
      </c>
      <c r="BB25" s="31">
        <f>SEPReport[[#This Row],[Salary]]-SEPReport[[#This Row],[Detuction ]]</f>
        <v>41000</v>
      </c>
      <c r="BC25" s="29"/>
      <c r="BD25" s="39"/>
      <c r="BE25" s="37"/>
      <c r="BF25" s="37"/>
      <c r="BG25" s="37"/>
      <c r="BH25" s="37"/>
      <c r="BI25" s="37"/>
      <c r="BJ25" s="37"/>
    </row>
    <row r="26" spans="1:62" ht="15" thickBot="1" x14ac:dyDescent="0.35">
      <c r="D26" s="37"/>
      <c r="E26" s="41"/>
      <c r="F26" s="24">
        <v>20</v>
      </c>
      <c r="G26" s="25">
        <v>1020</v>
      </c>
      <c r="H26" s="25" t="s">
        <v>22</v>
      </c>
      <c r="I26" s="24">
        <f t="shared" si="3"/>
        <v>4</v>
      </c>
      <c r="J26" s="56" t="s">
        <v>42</v>
      </c>
      <c r="K26" s="56" t="s">
        <v>42</v>
      </c>
      <c r="L26" s="56" t="s">
        <v>42</v>
      </c>
      <c r="M26" s="56" t="s">
        <v>42</v>
      </c>
      <c r="N26" s="56" t="s">
        <v>44</v>
      </c>
      <c r="O26" s="56" t="s">
        <v>42</v>
      </c>
      <c r="P26" s="27" t="str">
        <f t="shared" si="12"/>
        <v>WO</v>
      </c>
      <c r="Q26" s="56" t="s">
        <v>42</v>
      </c>
      <c r="R26" s="56" t="s">
        <v>42</v>
      </c>
      <c r="S26" s="56" t="s">
        <v>44</v>
      </c>
      <c r="T26" s="56" t="s">
        <v>42</v>
      </c>
      <c r="U26" s="56" t="s">
        <v>42</v>
      </c>
      <c r="V26" s="56" t="s">
        <v>42</v>
      </c>
      <c r="W26" s="27" t="str">
        <f t="shared" si="12"/>
        <v>WO</v>
      </c>
      <c r="X26" s="56" t="s">
        <v>42</v>
      </c>
      <c r="Y26" s="56" t="s">
        <v>42</v>
      </c>
      <c r="Z26" s="56" t="s">
        <v>42</v>
      </c>
      <c r="AA26" s="56" t="s">
        <v>42</v>
      </c>
      <c r="AB26" s="56" t="s">
        <v>42</v>
      </c>
      <c r="AC26" s="56" t="s">
        <v>42</v>
      </c>
      <c r="AD26" s="27" t="str">
        <f t="shared" si="11"/>
        <v>WO</v>
      </c>
      <c r="AE26" s="56" t="s">
        <v>42</v>
      </c>
      <c r="AF26" s="56" t="s">
        <v>42</v>
      </c>
      <c r="AG26" s="56" t="s">
        <v>42</v>
      </c>
      <c r="AH26" s="56" t="s">
        <v>42</v>
      </c>
      <c r="AI26" s="56" t="s">
        <v>42</v>
      </c>
      <c r="AJ26" s="56" t="s">
        <v>42</v>
      </c>
      <c r="AK26" s="27" t="str">
        <f t="shared" si="11"/>
        <v>WO</v>
      </c>
      <c r="AL26" s="56" t="s">
        <v>42</v>
      </c>
      <c r="AM26" s="59" t="s">
        <v>42</v>
      </c>
      <c r="AN26" s="39"/>
      <c r="AO26" s="28">
        <v>20</v>
      </c>
      <c r="AP26" s="21">
        <v>1020</v>
      </c>
      <c r="AQ26" s="33" t="str">
        <f t="shared" si="5"/>
        <v>September</v>
      </c>
      <c r="AR26" s="21" t="s">
        <v>22</v>
      </c>
      <c r="AS26" s="29">
        <f t="shared" si="6"/>
        <v>24</v>
      </c>
      <c r="AT26" s="29">
        <f t="shared" si="7"/>
        <v>0</v>
      </c>
      <c r="AU26" s="29">
        <f t="shared" si="8"/>
        <v>2</v>
      </c>
      <c r="AV26" s="29">
        <f t="shared" si="9"/>
        <v>4</v>
      </c>
      <c r="AW26" s="30">
        <f t="shared" si="10"/>
        <v>30</v>
      </c>
      <c r="AX26" s="29">
        <f>SEPReport[[#This Row],[Days]]-SEPReport[[#This Row],[Adsent]]</f>
        <v>30</v>
      </c>
      <c r="AY26" s="31">
        <v>30000</v>
      </c>
      <c r="AZ26" s="32">
        <f>SEPReport[[#This Row],[Salary]]/SEPReport[[#This Row],[Days]]</f>
        <v>1000</v>
      </c>
      <c r="BA26" s="31">
        <f>SEPReport[[#This Row],[Perday salary]]*SEPReport[[#This Row],[Adsent]]</f>
        <v>0</v>
      </c>
      <c r="BB26" s="31">
        <f>SEPReport[[#This Row],[Salary]]-SEPReport[[#This Row],[Detuction ]]</f>
        <v>30000</v>
      </c>
      <c r="BC26" s="29"/>
      <c r="BD26" s="39"/>
      <c r="BE26" s="37"/>
      <c r="BF26" s="37"/>
      <c r="BG26" s="37"/>
      <c r="BH26" s="37"/>
      <c r="BI26" s="37"/>
      <c r="BJ26" s="37"/>
    </row>
    <row r="27" spans="1:62" x14ac:dyDescent="0.3">
      <c r="D27" s="37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  <c r="AA27" s="41"/>
      <c r="AB27" s="41"/>
      <c r="AC27" s="41"/>
      <c r="AD27" s="41"/>
      <c r="AE27" s="41"/>
      <c r="AF27" s="41"/>
      <c r="AG27" s="41"/>
      <c r="AH27" s="41"/>
      <c r="AI27" s="41"/>
      <c r="AJ27" s="41"/>
      <c r="AK27" s="41"/>
      <c r="AL27" s="41"/>
      <c r="AM27" s="41"/>
      <c r="AN27" s="39"/>
      <c r="AO27" s="39"/>
      <c r="AP27" s="39"/>
      <c r="AQ27" s="39"/>
      <c r="AR27" s="39"/>
      <c r="AS27" s="39"/>
      <c r="AT27" s="39"/>
      <c r="AU27" s="39"/>
      <c r="AV27" s="39"/>
      <c r="AW27" s="39"/>
      <c r="AX27" s="39"/>
      <c r="AY27" s="39"/>
      <c r="AZ27" s="39"/>
      <c r="BA27" s="39"/>
      <c r="BB27" s="39"/>
      <c r="BC27" s="39"/>
      <c r="BD27" s="39"/>
      <c r="BE27" s="37"/>
      <c r="BF27" s="37"/>
      <c r="BG27" s="37"/>
      <c r="BH27" s="37"/>
      <c r="BI27" s="37"/>
      <c r="BJ27" s="37"/>
    </row>
    <row r="28" spans="1:62" x14ac:dyDescent="0.3"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  <c r="AA28" s="37"/>
      <c r="AB28" s="37"/>
      <c r="AC28" s="37"/>
      <c r="AD28" s="37"/>
      <c r="AE28" s="37"/>
      <c r="AF28" s="37"/>
      <c r="AG28" s="37"/>
      <c r="AH28" s="37"/>
      <c r="AI28" s="37"/>
      <c r="AJ28" s="37"/>
      <c r="AK28" s="37"/>
      <c r="AL28" s="37"/>
      <c r="AM28" s="37"/>
      <c r="AN28" s="37"/>
      <c r="AO28" s="37"/>
      <c r="AP28" s="37"/>
      <c r="AQ28" s="37"/>
      <c r="AR28" s="37"/>
      <c r="AS28" s="37"/>
      <c r="AT28" s="37"/>
      <c r="AU28" s="37"/>
      <c r="AV28" s="37"/>
      <c r="AW28" s="37"/>
      <c r="AX28" s="37"/>
      <c r="AY28" s="37"/>
      <c r="AZ28" s="37"/>
      <c r="BA28" s="37"/>
      <c r="BB28" s="37"/>
      <c r="BC28" s="37"/>
      <c r="BD28" s="37"/>
      <c r="BE28" s="37"/>
      <c r="BF28" s="37"/>
      <c r="BG28" s="37"/>
      <c r="BH28" s="37"/>
      <c r="BI28" s="37"/>
      <c r="BJ28" s="37"/>
    </row>
    <row r="29" spans="1:62" x14ac:dyDescent="0.3"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  <c r="AA29" s="37"/>
      <c r="AB29" s="37"/>
      <c r="AC29" s="37"/>
      <c r="AD29" s="37"/>
      <c r="AE29" s="37"/>
      <c r="AF29" s="37"/>
      <c r="AG29" s="37"/>
      <c r="AH29" s="37"/>
      <c r="AI29" s="37"/>
      <c r="AJ29" s="37"/>
      <c r="AK29" s="37"/>
      <c r="AL29" s="37"/>
      <c r="AM29" s="37"/>
      <c r="AN29" s="37"/>
      <c r="AO29" s="37"/>
      <c r="AP29" s="37"/>
      <c r="AQ29" s="37"/>
      <c r="AR29" s="37"/>
      <c r="AS29" s="37"/>
      <c r="AT29" s="37"/>
      <c r="AU29" s="37"/>
      <c r="AV29" s="37"/>
      <c r="AW29" s="37"/>
      <c r="AX29" s="37"/>
      <c r="AY29" s="37"/>
      <c r="AZ29" s="37"/>
      <c r="BA29" s="37"/>
      <c r="BB29" s="37"/>
      <c r="BC29" s="37"/>
      <c r="BD29" s="37"/>
      <c r="BE29" s="37"/>
      <c r="BF29" s="37"/>
      <c r="BG29" s="37"/>
      <c r="BH29" s="37"/>
      <c r="BI29" s="37"/>
      <c r="BJ29" s="37"/>
    </row>
    <row r="30" spans="1:62" x14ac:dyDescent="0.3">
      <c r="A30" s="37"/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  <c r="AA30" s="37"/>
      <c r="AB30" s="37"/>
      <c r="AC30" s="37"/>
      <c r="AD30" s="37"/>
      <c r="AE30" s="37"/>
      <c r="AF30" s="37"/>
      <c r="AG30" s="37"/>
      <c r="AH30" s="37"/>
      <c r="AI30" s="37"/>
      <c r="AJ30" s="37"/>
      <c r="AK30" s="37"/>
      <c r="AL30" s="37"/>
      <c r="AM30" s="37"/>
      <c r="AN30" s="37"/>
      <c r="AO30" s="37"/>
      <c r="AP30" s="37"/>
      <c r="AQ30" s="37"/>
      <c r="AR30" s="37"/>
      <c r="AS30" s="37"/>
      <c r="AT30" s="37"/>
      <c r="AU30" s="37"/>
      <c r="AV30" s="37"/>
      <c r="AW30" s="37"/>
      <c r="AX30" s="37"/>
      <c r="AY30" s="37"/>
      <c r="AZ30" s="37"/>
      <c r="BA30" s="37"/>
      <c r="BB30" s="37"/>
      <c r="BC30" s="37"/>
      <c r="BD30" s="37"/>
      <c r="BE30" s="37"/>
      <c r="BF30" s="37"/>
      <c r="BG30" s="37"/>
      <c r="BH30" s="37"/>
      <c r="BI30" s="37"/>
      <c r="BJ30" s="37"/>
    </row>
    <row r="31" spans="1:62" x14ac:dyDescent="0.3">
      <c r="A31" s="37"/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  <c r="AA31" s="37"/>
      <c r="AB31" s="37"/>
      <c r="AC31" s="37"/>
      <c r="AD31" s="37"/>
      <c r="AE31" s="37"/>
      <c r="AF31" s="37"/>
      <c r="AG31" s="37"/>
      <c r="AH31" s="37"/>
      <c r="AI31" s="37"/>
      <c r="AJ31" s="37"/>
      <c r="AK31" s="37"/>
      <c r="AL31" s="37"/>
      <c r="AM31" s="37"/>
      <c r="AN31" s="37"/>
      <c r="AO31" s="37"/>
      <c r="AP31" s="37"/>
      <c r="AQ31" s="37"/>
      <c r="AR31" s="37"/>
      <c r="AS31" s="37"/>
      <c r="AT31" s="37"/>
      <c r="AU31" s="37"/>
      <c r="AV31" s="37"/>
      <c r="AW31" s="37"/>
      <c r="AX31" s="37"/>
      <c r="AY31" s="37"/>
      <c r="AZ31" s="37"/>
      <c r="BA31" s="37"/>
      <c r="BB31" s="37"/>
      <c r="BC31" s="37"/>
      <c r="BD31" s="37"/>
      <c r="BE31" s="37"/>
      <c r="BF31" s="37"/>
      <c r="BG31" s="37"/>
      <c r="BH31" s="37"/>
      <c r="BI31" s="37"/>
      <c r="BJ31" s="37"/>
    </row>
    <row r="32" spans="1:62" x14ac:dyDescent="0.3">
      <c r="A32" s="37"/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  <c r="AA32" s="37"/>
      <c r="AB32" s="37"/>
      <c r="AC32" s="37"/>
      <c r="AD32" s="37"/>
      <c r="AE32" s="37"/>
      <c r="AF32" s="37"/>
      <c r="AG32" s="37"/>
      <c r="AH32" s="37"/>
      <c r="AI32" s="37"/>
      <c r="AJ32" s="37"/>
      <c r="AK32" s="37"/>
      <c r="AL32" s="37"/>
      <c r="AM32" s="37"/>
      <c r="AN32" s="37"/>
      <c r="AO32" s="37"/>
      <c r="AP32" s="37"/>
      <c r="AQ32" s="37"/>
      <c r="AR32" s="37"/>
      <c r="AS32" s="37"/>
      <c r="AT32" s="37"/>
      <c r="AU32" s="37"/>
      <c r="AV32" s="37"/>
      <c r="AW32" s="37"/>
      <c r="AX32" s="37"/>
      <c r="AY32" s="37"/>
      <c r="AZ32" s="37"/>
      <c r="BA32" s="37"/>
      <c r="BB32" s="37"/>
      <c r="BC32" s="37"/>
      <c r="BD32" s="37"/>
      <c r="BE32" s="37"/>
      <c r="BF32" s="37"/>
      <c r="BG32" s="37"/>
      <c r="BH32" s="37"/>
      <c r="BI32" s="37"/>
      <c r="BJ32" s="37"/>
    </row>
    <row r="33" spans="1:62" x14ac:dyDescent="0.3">
      <c r="A33" s="37"/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  <c r="AA33" s="37"/>
      <c r="AB33" s="37"/>
      <c r="AC33" s="37"/>
      <c r="AD33" s="37"/>
      <c r="AE33" s="37"/>
      <c r="AF33" s="37"/>
      <c r="AG33" s="37"/>
      <c r="AH33" s="37"/>
      <c r="AI33" s="37"/>
      <c r="AJ33" s="37"/>
      <c r="AK33" s="37"/>
      <c r="AL33" s="37"/>
      <c r="AM33" s="37"/>
      <c r="AN33" s="37"/>
      <c r="AO33" s="37"/>
      <c r="AP33" s="37"/>
      <c r="AQ33" s="37"/>
      <c r="AR33" s="37"/>
      <c r="AS33" s="37"/>
      <c r="AT33" s="37"/>
      <c r="AU33" s="37"/>
      <c r="AV33" s="37"/>
      <c r="AW33" s="37"/>
      <c r="AX33" s="37"/>
      <c r="AY33" s="37"/>
      <c r="AZ33" s="37"/>
      <c r="BA33" s="37"/>
      <c r="BB33" s="37"/>
      <c r="BC33" s="37"/>
      <c r="BD33" s="37"/>
      <c r="BE33" s="37"/>
      <c r="BF33" s="37"/>
      <c r="BG33" s="37"/>
      <c r="BH33" s="37"/>
      <c r="BI33" s="37"/>
      <c r="BJ33" s="37"/>
    </row>
    <row r="34" spans="1:62" x14ac:dyDescent="0.3">
      <c r="A34" s="37"/>
      <c r="B34" s="37"/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  <c r="AA34" s="37"/>
      <c r="AB34" s="37"/>
      <c r="AC34" s="37"/>
      <c r="AD34" s="37"/>
      <c r="AE34" s="37"/>
      <c r="AF34" s="37"/>
      <c r="AG34" s="37"/>
      <c r="AH34" s="37"/>
      <c r="AI34" s="37"/>
      <c r="AJ34" s="37"/>
      <c r="AK34" s="37"/>
      <c r="AL34" s="37"/>
      <c r="AM34" s="37"/>
      <c r="AN34" s="37"/>
      <c r="AO34" s="37"/>
      <c r="AP34" s="37"/>
      <c r="AQ34" s="37"/>
      <c r="AR34" s="37"/>
      <c r="AS34" s="37"/>
      <c r="AT34" s="37"/>
      <c r="AU34" s="37"/>
      <c r="AV34" s="37"/>
      <c r="AW34" s="37"/>
      <c r="AX34" s="37"/>
      <c r="AY34" s="37"/>
      <c r="AZ34" s="37"/>
      <c r="BA34" s="37"/>
      <c r="BB34" s="37"/>
      <c r="BC34" s="37"/>
      <c r="BD34" s="37"/>
      <c r="BE34" s="37"/>
      <c r="BF34" s="37"/>
      <c r="BG34" s="37"/>
      <c r="BH34" s="37"/>
      <c r="BI34" s="37"/>
      <c r="BJ34" s="37"/>
    </row>
    <row r="35" spans="1:62" x14ac:dyDescent="0.3">
      <c r="A35" s="37"/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  <c r="AA35" s="37"/>
      <c r="AB35" s="37"/>
      <c r="AC35" s="37"/>
      <c r="AD35" s="37"/>
      <c r="AE35" s="37"/>
      <c r="AF35" s="37"/>
      <c r="AG35" s="37"/>
      <c r="AH35" s="37"/>
      <c r="AI35" s="37"/>
      <c r="AJ35" s="37"/>
      <c r="AK35" s="37"/>
      <c r="AL35" s="37"/>
      <c r="AM35" s="37"/>
      <c r="AN35" s="37"/>
      <c r="AO35" s="37"/>
      <c r="AP35" s="37"/>
      <c r="AQ35" s="37"/>
      <c r="AR35" s="37"/>
      <c r="AS35" s="37"/>
      <c r="AT35" s="37"/>
      <c r="AU35" s="37"/>
      <c r="AV35" s="37"/>
      <c r="AW35" s="37"/>
      <c r="AX35" s="37"/>
      <c r="AY35" s="37"/>
      <c r="AZ35" s="37"/>
      <c r="BA35" s="37"/>
      <c r="BB35" s="37"/>
      <c r="BC35" s="37"/>
      <c r="BD35" s="37"/>
      <c r="BE35" s="37"/>
      <c r="BF35" s="37"/>
      <c r="BG35" s="37"/>
      <c r="BH35" s="37"/>
      <c r="BI35" s="37"/>
      <c r="BJ35" s="37"/>
    </row>
    <row r="36" spans="1:62" x14ac:dyDescent="0.3">
      <c r="A36" s="37"/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  <c r="AA36" s="37"/>
      <c r="AB36" s="37"/>
      <c r="AC36" s="37"/>
      <c r="AD36" s="37"/>
      <c r="AE36" s="37"/>
      <c r="AF36" s="37"/>
      <c r="AG36" s="37"/>
      <c r="AH36" s="37"/>
      <c r="AI36" s="37"/>
      <c r="AJ36" s="37"/>
      <c r="AK36" s="37"/>
      <c r="AL36" s="37"/>
      <c r="AM36" s="37"/>
      <c r="AN36" s="37"/>
      <c r="AO36" s="37"/>
      <c r="AP36" s="37"/>
      <c r="AQ36" s="37"/>
      <c r="AR36" s="37"/>
      <c r="AS36" s="37"/>
      <c r="AT36" s="37"/>
      <c r="AU36" s="37"/>
      <c r="AV36" s="37"/>
      <c r="AW36" s="37"/>
      <c r="AX36" s="37"/>
      <c r="AY36" s="37"/>
      <c r="AZ36" s="37"/>
      <c r="BA36" s="37"/>
      <c r="BB36" s="37"/>
      <c r="BC36" s="37"/>
      <c r="BD36" s="37"/>
      <c r="BE36" s="37"/>
      <c r="BF36" s="37"/>
      <c r="BG36" s="37"/>
      <c r="BH36" s="37"/>
      <c r="BI36" s="37"/>
      <c r="BJ36" s="37"/>
    </row>
    <row r="37" spans="1:62" x14ac:dyDescent="0.3">
      <c r="A37" s="37"/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37"/>
      <c r="AB37" s="37"/>
      <c r="AC37" s="37"/>
      <c r="AD37" s="37"/>
      <c r="AE37" s="37"/>
      <c r="AF37" s="37"/>
      <c r="AG37" s="37"/>
      <c r="AH37" s="37"/>
      <c r="AI37" s="37"/>
      <c r="AJ37" s="37"/>
      <c r="AK37" s="37"/>
      <c r="AL37" s="37"/>
      <c r="AM37" s="37"/>
      <c r="AN37" s="37"/>
      <c r="AO37" s="37"/>
      <c r="AP37" s="37"/>
      <c r="AQ37" s="37"/>
      <c r="AR37" s="37"/>
      <c r="AS37" s="37"/>
      <c r="AT37" s="37"/>
      <c r="AU37" s="37"/>
      <c r="AV37" s="37"/>
      <c r="AW37" s="37"/>
      <c r="AX37" s="37"/>
      <c r="AY37" s="37"/>
      <c r="AZ37" s="37"/>
      <c r="BA37" s="37"/>
      <c r="BB37" s="37"/>
      <c r="BC37" s="37"/>
      <c r="BD37" s="37"/>
      <c r="BE37" s="37"/>
      <c r="BF37" s="37"/>
      <c r="BG37" s="37"/>
      <c r="BH37" s="37"/>
      <c r="BI37" s="37"/>
      <c r="BJ37" s="37"/>
    </row>
    <row r="38" spans="1:62" x14ac:dyDescent="0.3">
      <c r="A38" s="37"/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  <c r="AA38" s="37"/>
      <c r="AB38" s="37"/>
      <c r="AC38" s="37"/>
      <c r="AD38" s="37"/>
      <c r="AE38" s="37"/>
      <c r="AF38" s="37"/>
      <c r="AG38" s="37"/>
      <c r="AH38" s="37"/>
      <c r="AI38" s="37"/>
      <c r="AJ38" s="37"/>
      <c r="AK38" s="37"/>
      <c r="AL38" s="37"/>
      <c r="AM38" s="37"/>
      <c r="AN38" s="37"/>
      <c r="AO38" s="37"/>
      <c r="AP38" s="37"/>
      <c r="AQ38" s="37"/>
      <c r="AR38" s="37"/>
      <c r="AS38" s="37"/>
      <c r="AT38" s="37"/>
      <c r="AU38" s="37"/>
      <c r="AV38" s="37"/>
      <c r="AW38" s="37"/>
      <c r="AX38" s="37"/>
      <c r="AY38" s="37"/>
      <c r="AZ38" s="37"/>
      <c r="BA38" s="37"/>
      <c r="BB38" s="37"/>
      <c r="BC38" s="37"/>
      <c r="BD38" s="37"/>
      <c r="BE38" s="37"/>
      <c r="BF38" s="37"/>
      <c r="BG38" s="37"/>
      <c r="BH38" s="37"/>
      <c r="BI38" s="37"/>
      <c r="BJ38" s="37"/>
    </row>
    <row r="39" spans="1:62" x14ac:dyDescent="0.3">
      <c r="A39" s="37"/>
      <c r="B39" s="37"/>
      <c r="C39" s="37"/>
      <c r="D39" s="37"/>
      <c r="E39" s="37"/>
      <c r="F39" s="37"/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  <c r="AA39" s="37"/>
      <c r="AB39" s="37"/>
      <c r="AC39" s="37"/>
      <c r="AD39" s="37"/>
      <c r="AE39" s="37"/>
      <c r="AF39" s="37"/>
      <c r="AG39" s="37"/>
      <c r="AH39" s="37"/>
      <c r="AI39" s="37"/>
      <c r="AJ39" s="37"/>
      <c r="AK39" s="37"/>
      <c r="AL39" s="37"/>
      <c r="AM39" s="37"/>
      <c r="AN39" s="37"/>
      <c r="AO39" s="37"/>
      <c r="AP39" s="37"/>
      <c r="AQ39" s="37"/>
      <c r="AR39" s="37"/>
      <c r="AS39" s="37"/>
      <c r="AT39" s="37"/>
      <c r="AU39" s="37"/>
      <c r="AV39" s="37"/>
      <c r="AW39" s="37"/>
      <c r="AX39" s="37"/>
      <c r="AY39" s="37"/>
      <c r="AZ39" s="37"/>
      <c r="BA39" s="37"/>
      <c r="BB39" s="37"/>
      <c r="BC39" s="37"/>
      <c r="BD39" s="37"/>
      <c r="BE39" s="37"/>
      <c r="BF39" s="37"/>
      <c r="BG39" s="37"/>
      <c r="BH39" s="37"/>
      <c r="BI39" s="37"/>
      <c r="BJ39" s="37"/>
    </row>
    <row r="40" spans="1:62" x14ac:dyDescent="0.3">
      <c r="A40" s="37"/>
      <c r="B40" s="37"/>
      <c r="C40" s="37"/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  <c r="AA40" s="37"/>
      <c r="AB40" s="37"/>
      <c r="AC40" s="37"/>
      <c r="AD40" s="37"/>
      <c r="AE40" s="37"/>
      <c r="AF40" s="37"/>
      <c r="AG40" s="37"/>
      <c r="AH40" s="37"/>
      <c r="AI40" s="37"/>
      <c r="AJ40" s="37"/>
      <c r="AK40" s="37"/>
      <c r="AL40" s="37"/>
      <c r="AM40" s="37"/>
      <c r="AN40" s="37"/>
      <c r="AO40" s="37"/>
      <c r="AP40" s="37"/>
      <c r="AQ40" s="37"/>
      <c r="AR40" s="37"/>
      <c r="AS40" s="37"/>
      <c r="AT40" s="37"/>
      <c r="AU40" s="37"/>
      <c r="AV40" s="37"/>
      <c r="AW40" s="37"/>
      <c r="AX40" s="37"/>
      <c r="AY40" s="37"/>
      <c r="AZ40" s="37"/>
      <c r="BA40" s="37"/>
      <c r="BB40" s="37"/>
      <c r="BC40" s="37"/>
      <c r="BD40" s="37"/>
      <c r="BE40" s="37"/>
      <c r="BF40" s="37"/>
      <c r="BG40" s="37"/>
      <c r="BH40" s="37"/>
      <c r="BI40" s="37"/>
      <c r="BJ40" s="37"/>
    </row>
    <row r="41" spans="1:62" x14ac:dyDescent="0.3">
      <c r="A41" s="37"/>
      <c r="B41" s="37"/>
      <c r="C41" s="37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  <c r="AA41" s="37"/>
      <c r="AB41" s="37"/>
      <c r="AC41" s="37"/>
      <c r="AD41" s="37"/>
      <c r="AE41" s="37"/>
      <c r="AF41" s="37"/>
      <c r="AG41" s="37"/>
      <c r="AH41" s="37"/>
      <c r="AI41" s="37"/>
      <c r="AJ41" s="37"/>
      <c r="AK41" s="37"/>
      <c r="AL41" s="37"/>
      <c r="AM41" s="37"/>
      <c r="AN41" s="37"/>
      <c r="AO41" s="37"/>
      <c r="AP41" s="37"/>
      <c r="AQ41" s="37"/>
      <c r="AR41" s="37"/>
      <c r="AS41" s="37"/>
      <c r="AT41" s="37"/>
      <c r="AU41" s="37"/>
      <c r="AV41" s="37"/>
      <c r="AW41" s="37"/>
      <c r="AX41" s="37"/>
      <c r="AY41" s="37"/>
      <c r="AZ41" s="37"/>
      <c r="BA41" s="37"/>
      <c r="BB41" s="37"/>
      <c r="BC41" s="37"/>
      <c r="BD41" s="37"/>
      <c r="BE41" s="37"/>
      <c r="BF41" s="37"/>
      <c r="BG41" s="37"/>
      <c r="BH41" s="37"/>
      <c r="BI41" s="37"/>
      <c r="BJ41" s="37"/>
    </row>
    <row r="42" spans="1:62" x14ac:dyDescent="0.3">
      <c r="A42" s="37"/>
      <c r="B42" s="37"/>
      <c r="C42" s="37"/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  <c r="AA42" s="37"/>
      <c r="AB42" s="37"/>
      <c r="AC42" s="37"/>
      <c r="AD42" s="37"/>
      <c r="AE42" s="37"/>
      <c r="AF42" s="37"/>
      <c r="AG42" s="37"/>
      <c r="AH42" s="37"/>
      <c r="AI42" s="37"/>
      <c r="AJ42" s="37"/>
      <c r="AK42" s="37"/>
      <c r="AL42" s="37"/>
      <c r="AM42" s="37"/>
      <c r="AN42" s="37"/>
      <c r="AO42" s="37"/>
      <c r="AP42" s="37"/>
      <c r="AQ42" s="37"/>
      <c r="AR42" s="37"/>
      <c r="AS42" s="37"/>
      <c r="AT42" s="37"/>
      <c r="AU42" s="37"/>
      <c r="AV42" s="37"/>
      <c r="AW42" s="37"/>
      <c r="AX42" s="37"/>
      <c r="AY42" s="37"/>
      <c r="AZ42" s="37"/>
      <c r="BA42" s="37"/>
      <c r="BB42" s="37"/>
      <c r="BC42" s="37"/>
      <c r="BD42" s="37"/>
      <c r="BE42" s="37"/>
      <c r="BF42" s="37"/>
      <c r="BG42" s="37"/>
      <c r="BH42" s="37"/>
      <c r="BI42" s="37"/>
      <c r="BJ42" s="37"/>
    </row>
    <row r="43" spans="1:62" x14ac:dyDescent="0.3">
      <c r="A43" s="37"/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  <c r="AA43" s="37"/>
      <c r="AB43" s="37"/>
      <c r="AC43" s="37"/>
      <c r="AD43" s="37"/>
      <c r="AE43" s="37"/>
      <c r="AF43" s="37"/>
      <c r="AG43" s="37"/>
      <c r="AH43" s="37"/>
      <c r="AI43" s="37"/>
      <c r="AJ43" s="37"/>
      <c r="AK43" s="37"/>
      <c r="AL43" s="37"/>
      <c r="AM43" s="37"/>
      <c r="AN43" s="37"/>
      <c r="AO43" s="37"/>
      <c r="AP43" s="37"/>
      <c r="AQ43" s="37"/>
      <c r="AR43" s="37"/>
      <c r="AS43" s="37"/>
      <c r="AT43" s="37"/>
      <c r="AU43" s="37"/>
      <c r="AV43" s="37"/>
      <c r="AW43" s="37"/>
      <c r="AX43" s="37"/>
      <c r="AY43" s="37"/>
      <c r="AZ43" s="37"/>
      <c r="BA43" s="37"/>
      <c r="BB43" s="37"/>
      <c r="BC43" s="37"/>
      <c r="BD43" s="37"/>
      <c r="BE43" s="37"/>
      <c r="BF43" s="37"/>
      <c r="BG43" s="37"/>
      <c r="BH43" s="37"/>
      <c r="BI43" s="37"/>
      <c r="BJ43" s="37"/>
    </row>
    <row r="44" spans="1:62" x14ac:dyDescent="0.3">
      <c r="A44" s="37"/>
      <c r="B44" s="37"/>
      <c r="C44" s="37"/>
      <c r="D44" s="37"/>
      <c r="E44" s="37"/>
      <c r="F44" s="37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  <c r="AA44" s="37"/>
      <c r="AB44" s="37"/>
      <c r="AC44" s="37"/>
      <c r="AD44" s="37"/>
      <c r="AE44" s="37"/>
      <c r="AF44" s="37"/>
      <c r="AG44" s="37"/>
      <c r="AH44" s="37"/>
      <c r="AI44" s="37"/>
      <c r="AJ44" s="37"/>
      <c r="AK44" s="37"/>
      <c r="AL44" s="37"/>
      <c r="AM44" s="37"/>
      <c r="AN44" s="37"/>
      <c r="AO44" s="37"/>
      <c r="AP44" s="37"/>
      <c r="AQ44" s="37"/>
      <c r="AR44" s="37"/>
      <c r="AS44" s="37"/>
      <c r="AT44" s="37"/>
      <c r="AU44" s="37"/>
      <c r="AV44" s="37"/>
      <c r="AW44" s="37"/>
      <c r="AX44" s="37"/>
      <c r="AY44" s="37"/>
      <c r="AZ44" s="37"/>
      <c r="BA44" s="37"/>
      <c r="BB44" s="37"/>
      <c r="BC44" s="37"/>
      <c r="BD44" s="37"/>
      <c r="BE44" s="37"/>
      <c r="BF44" s="37"/>
      <c r="BG44" s="37"/>
      <c r="BH44" s="37"/>
      <c r="BI44" s="37"/>
      <c r="BJ44" s="37"/>
    </row>
    <row r="45" spans="1:62" x14ac:dyDescent="0.3">
      <c r="A45" s="37"/>
      <c r="B45" s="37"/>
      <c r="C45" s="37"/>
      <c r="E45" s="37"/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  <c r="AA45" s="37"/>
      <c r="AB45" s="37"/>
      <c r="AC45" s="37"/>
      <c r="AD45" s="37"/>
      <c r="AE45" s="37"/>
      <c r="AF45" s="37"/>
      <c r="AG45" s="37"/>
      <c r="AH45" s="37"/>
      <c r="AI45" s="37"/>
      <c r="AJ45" s="37"/>
      <c r="AK45" s="37"/>
      <c r="AL45" s="37"/>
      <c r="AM45" s="37"/>
      <c r="AN45" s="37"/>
      <c r="AO45" s="37"/>
      <c r="AP45" s="37"/>
      <c r="AQ45" s="37"/>
      <c r="AR45" s="37"/>
      <c r="AS45" s="37"/>
      <c r="AT45" s="37"/>
      <c r="AU45" s="37"/>
      <c r="AV45" s="37"/>
      <c r="AW45" s="37"/>
      <c r="AX45" s="37"/>
      <c r="AY45" s="37"/>
      <c r="AZ45" s="37"/>
      <c r="BA45" s="37"/>
      <c r="BB45" s="37"/>
      <c r="BC45" s="37"/>
      <c r="BD45" s="37"/>
      <c r="BE45" s="37"/>
      <c r="BF45" s="37"/>
      <c r="BG45" s="37"/>
      <c r="BH45" s="37"/>
      <c r="BI45" s="37"/>
      <c r="BJ45" s="37"/>
    </row>
    <row r="46" spans="1:62" x14ac:dyDescent="0.3">
      <c r="A46" s="37"/>
      <c r="B46" s="37"/>
      <c r="C46" s="37"/>
      <c r="D46" s="37"/>
      <c r="E46" s="37"/>
      <c r="F46" s="37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  <c r="AA46" s="37"/>
      <c r="AB46" s="37"/>
      <c r="AC46" s="37"/>
      <c r="AD46" s="37"/>
      <c r="AE46" s="37"/>
      <c r="AF46" s="37"/>
      <c r="AG46" s="37"/>
      <c r="AH46" s="37"/>
      <c r="AI46" s="37"/>
      <c r="AJ46" s="37"/>
      <c r="AK46" s="37"/>
      <c r="AL46" s="37"/>
      <c r="AM46" s="37"/>
      <c r="AN46" s="37"/>
      <c r="AO46" s="37"/>
      <c r="AP46" s="37"/>
      <c r="AQ46" s="37"/>
      <c r="AR46" s="37"/>
      <c r="AS46" s="37"/>
      <c r="AT46" s="37"/>
      <c r="AU46" s="37"/>
      <c r="AV46" s="37"/>
      <c r="AW46" s="37"/>
      <c r="AX46" s="37"/>
      <c r="AY46" s="37"/>
      <c r="AZ46" s="37"/>
      <c r="BA46" s="37"/>
      <c r="BB46" s="37"/>
      <c r="BC46" s="37"/>
      <c r="BD46" s="37"/>
      <c r="BE46" s="37"/>
      <c r="BF46" s="37"/>
      <c r="BG46" s="37"/>
      <c r="BH46" s="37"/>
      <c r="BI46" s="37"/>
      <c r="BJ46" s="37"/>
    </row>
    <row r="47" spans="1:62" x14ac:dyDescent="0.3">
      <c r="A47" s="37"/>
      <c r="B47" s="37"/>
      <c r="C47" s="37"/>
      <c r="D47" s="37"/>
      <c r="E47" s="37"/>
      <c r="F47" s="37"/>
      <c r="G47" s="37"/>
      <c r="H47" s="37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  <c r="AA47" s="37"/>
      <c r="AB47" s="37"/>
      <c r="AC47" s="37"/>
      <c r="AD47" s="37"/>
      <c r="AE47" s="37"/>
      <c r="AF47" s="37"/>
      <c r="AG47" s="37"/>
      <c r="AH47" s="37"/>
      <c r="AI47" s="37"/>
      <c r="AJ47" s="37"/>
      <c r="AK47" s="37"/>
      <c r="AL47" s="37"/>
      <c r="AM47" s="37"/>
      <c r="AN47" s="37"/>
      <c r="AO47" s="37"/>
      <c r="AP47" s="37"/>
      <c r="AQ47" s="37"/>
      <c r="AR47" s="37"/>
      <c r="AS47" s="37"/>
      <c r="AT47" s="37"/>
      <c r="AU47" s="37"/>
      <c r="AV47" s="37"/>
      <c r="AW47" s="37"/>
      <c r="AX47" s="37"/>
      <c r="AY47" s="37"/>
      <c r="AZ47" s="37"/>
      <c r="BA47" s="37"/>
      <c r="BB47" s="37"/>
      <c r="BC47" s="37"/>
      <c r="BD47" s="37"/>
      <c r="BE47" s="37"/>
      <c r="BF47" s="37"/>
      <c r="BG47" s="37"/>
      <c r="BH47" s="37"/>
      <c r="BI47" s="37"/>
      <c r="BJ47" s="37"/>
    </row>
    <row r="48" spans="1:62" x14ac:dyDescent="0.3">
      <c r="A48" s="37"/>
      <c r="B48" s="37"/>
      <c r="C48" s="37"/>
      <c r="D48" s="37"/>
      <c r="E48" s="37"/>
      <c r="F48" s="37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  <c r="AA48" s="37"/>
      <c r="AB48" s="37"/>
      <c r="AC48" s="37"/>
      <c r="AD48" s="37"/>
      <c r="AE48" s="37"/>
      <c r="AF48" s="37"/>
      <c r="AG48" s="37"/>
      <c r="AH48" s="37"/>
      <c r="AI48" s="37"/>
      <c r="AJ48" s="37"/>
      <c r="AK48" s="37"/>
      <c r="AL48" s="37"/>
      <c r="AM48" s="37"/>
      <c r="AN48" s="37"/>
      <c r="AO48" s="37"/>
      <c r="AP48" s="37"/>
      <c r="AQ48" s="37"/>
      <c r="AR48" s="37"/>
      <c r="AS48" s="37"/>
      <c r="AT48" s="37"/>
      <c r="AU48" s="37"/>
      <c r="AV48" s="37"/>
      <c r="AW48" s="37"/>
      <c r="AX48" s="37"/>
      <c r="AY48" s="37"/>
      <c r="AZ48" s="37"/>
      <c r="BA48" s="37"/>
      <c r="BB48" s="37"/>
      <c r="BC48" s="37"/>
      <c r="BD48" s="37"/>
      <c r="BE48" s="37"/>
      <c r="BF48" s="37"/>
      <c r="BG48" s="37"/>
      <c r="BH48" s="37"/>
      <c r="BI48" s="37"/>
      <c r="BJ48" s="37"/>
    </row>
    <row r="49" spans="1:4" x14ac:dyDescent="0.3">
      <c r="A49" s="37"/>
      <c r="B49" s="37"/>
      <c r="C49" s="37"/>
      <c r="D49" s="37"/>
    </row>
  </sheetData>
  <mergeCells count="1">
    <mergeCell ref="F5:H5"/>
  </mergeCells>
  <conditionalFormatting sqref="J7:AM26">
    <cfRule type="containsText" dxfId="95" priority="1" operator="containsText" text="P">
      <formula>NOT(ISERROR(SEARCH("P",J7)))</formula>
    </cfRule>
    <cfRule type="containsText" dxfId="94" priority="2" operator="containsText" text="L">
      <formula>NOT(ISERROR(SEARCH("L",J7)))</formula>
    </cfRule>
    <cfRule type="containsText" dxfId="93" priority="3" operator="containsText" text="A">
      <formula>NOT(ISERROR(SEARCH("A",J7)))</formula>
    </cfRule>
    <cfRule type="containsText" dxfId="92" priority="4" operator="containsText" text="WO">
      <formula>NOT(ISERROR(SEARCH("WO",J7)))</formula>
    </cfRule>
    <cfRule type="containsText" dxfId="91" priority="5" operator="containsText" text="WO">
      <formula>NOT(ISERROR(SEARCH("WO",J7)))</formula>
    </cfRule>
  </conditionalFormatting>
  <dataValidations count="2">
    <dataValidation type="list" allowBlank="1" showInputMessage="1" showErrorMessage="1" sqref="J7 J7:O26 Q7:V26 X7:AC26 AE7:AJ26 AL7:AM26">
      <formula1>"P,A,L"</formula1>
    </dataValidation>
    <dataValidation type="list" allowBlank="1" showInputMessage="1" showErrorMessage="1" sqref="H4">
      <formula1>#REF!</formula1>
    </dataValidation>
  </dataValidations>
  <pageMargins left="0.7" right="0.7" top="0.75" bottom="0.75" header="0.3" footer="0.3"/>
  <pageSetup orientation="portrait" r:id="rId1"/>
  <drawing r:id="rId2"/>
  <tableParts count="1">
    <tablePart r:id="rId3"/>
  </tableParts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SEP!AS7:AV7</xm:f>
              <xm:sqref>BC7</xm:sqref>
            </x14:sparkline>
            <x14:sparkline>
              <xm:f>SEP!AS8:AV8</xm:f>
              <xm:sqref>BC8</xm:sqref>
            </x14:sparkline>
            <x14:sparkline>
              <xm:f>SEP!AS9:AV9</xm:f>
              <xm:sqref>BC9</xm:sqref>
            </x14:sparkline>
            <x14:sparkline>
              <xm:f>SEP!AS10:AV10</xm:f>
              <xm:sqref>BC10</xm:sqref>
            </x14:sparkline>
            <x14:sparkline>
              <xm:f>SEP!AS11:AV11</xm:f>
              <xm:sqref>BC11</xm:sqref>
            </x14:sparkline>
            <x14:sparkline>
              <xm:f>SEP!AS12:AV12</xm:f>
              <xm:sqref>BC12</xm:sqref>
            </x14:sparkline>
            <x14:sparkline>
              <xm:f>SEP!AS13:AV13</xm:f>
              <xm:sqref>BC13</xm:sqref>
            </x14:sparkline>
            <x14:sparkline>
              <xm:f>SEP!AS14:AV14</xm:f>
              <xm:sqref>BC14</xm:sqref>
            </x14:sparkline>
            <x14:sparkline>
              <xm:f>SEP!AS15:AV15</xm:f>
              <xm:sqref>BC15</xm:sqref>
            </x14:sparkline>
            <x14:sparkline>
              <xm:f>SEP!AS16:AV16</xm:f>
              <xm:sqref>BC16</xm:sqref>
            </x14:sparkline>
            <x14:sparkline>
              <xm:f>SEP!AS17:AV17</xm:f>
              <xm:sqref>BC17</xm:sqref>
            </x14:sparkline>
            <x14:sparkline>
              <xm:f>SEP!AS18:AV18</xm:f>
              <xm:sqref>BC18</xm:sqref>
            </x14:sparkline>
            <x14:sparkline>
              <xm:f>SEP!AS19:AV19</xm:f>
              <xm:sqref>BC19</xm:sqref>
            </x14:sparkline>
            <x14:sparkline>
              <xm:f>SEP!AS20:AV20</xm:f>
              <xm:sqref>BC20</xm:sqref>
            </x14:sparkline>
            <x14:sparkline>
              <xm:f>SEP!AS21:AV21</xm:f>
              <xm:sqref>BC21</xm:sqref>
            </x14:sparkline>
            <x14:sparkline>
              <xm:f>SEP!AS22:AV22</xm:f>
              <xm:sqref>BC22</xm:sqref>
            </x14:sparkline>
            <x14:sparkline>
              <xm:f>SEP!AS23:AV23</xm:f>
              <xm:sqref>BC23</xm:sqref>
            </x14:sparkline>
            <x14:sparkline>
              <xm:f>SEP!AS24:AV24</xm:f>
              <xm:sqref>BC24</xm:sqref>
            </x14:sparkline>
            <x14:sparkline>
              <xm:f>SEP!AS25:AV25</xm:f>
              <xm:sqref>BC25</xm:sqref>
            </x14:sparkline>
            <x14:sparkline>
              <xm:f>SEP!AS26:AV26</xm:f>
              <xm:sqref>BC26</xm:sqref>
            </x14:sparkline>
          </x14:sparklines>
        </x14:sparklineGroup>
      </x14:sparklineGroup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49"/>
  <sheetViews>
    <sheetView zoomScaleNormal="100" workbookViewId="0"/>
  </sheetViews>
  <sheetFormatPr defaultColWidth="9.109375" defaultRowHeight="14.4" x14ac:dyDescent="0.3"/>
  <cols>
    <col min="1" max="6" width="9.109375" style="7"/>
    <col min="7" max="7" width="11.6640625" style="7" bestFit="1" customWidth="1"/>
    <col min="8" max="8" width="20.109375" style="7" bestFit="1" customWidth="1"/>
    <col min="9" max="9" width="9.109375" style="7"/>
    <col min="10" max="10" width="5.33203125" style="7" bestFit="1" customWidth="1"/>
    <col min="11" max="11" width="6" style="7" customWidth="1"/>
    <col min="12" max="12" width="5" style="7" bestFit="1" customWidth="1"/>
    <col min="13" max="14" width="4.33203125" style="7" bestFit="1" customWidth="1"/>
    <col min="15" max="15" width="6.5546875" style="7" customWidth="1"/>
    <col min="16" max="16" width="4.33203125" style="7" bestFit="1" customWidth="1"/>
    <col min="17" max="17" width="5.109375" style="7" bestFit="1" customWidth="1"/>
    <col min="18" max="18" width="4.33203125" style="7" bestFit="1" customWidth="1"/>
    <col min="19" max="19" width="5" style="7" bestFit="1" customWidth="1"/>
    <col min="20" max="20" width="4.33203125" style="7" bestFit="1" customWidth="1"/>
    <col min="21" max="21" width="5.109375" style="7" bestFit="1" customWidth="1"/>
    <col min="22" max="22" width="5" style="7" bestFit="1" customWidth="1"/>
    <col min="23" max="23" width="4.33203125" style="7" bestFit="1" customWidth="1"/>
    <col min="24" max="24" width="5.109375" style="7" bestFit="1" customWidth="1"/>
    <col min="25" max="25" width="4.33203125" style="7" bestFit="1" customWidth="1"/>
    <col min="26" max="26" width="5" style="7" bestFit="1" customWidth="1"/>
    <col min="27" max="27" width="4.33203125" style="7" bestFit="1" customWidth="1"/>
    <col min="28" max="28" width="5.109375" style="7" bestFit="1" customWidth="1"/>
    <col min="29" max="29" width="5" style="7" bestFit="1" customWidth="1"/>
    <col min="30" max="30" width="4.33203125" style="7" bestFit="1" customWidth="1"/>
    <col min="31" max="31" width="5.109375" style="7" bestFit="1" customWidth="1"/>
    <col min="32" max="32" width="4.33203125" style="7" bestFit="1" customWidth="1"/>
    <col min="33" max="33" width="5" style="7" bestFit="1" customWidth="1"/>
    <col min="34" max="34" width="4.33203125" style="7" bestFit="1" customWidth="1"/>
    <col min="35" max="35" width="5.109375" style="7" bestFit="1" customWidth="1"/>
    <col min="36" max="37" width="4.33203125" style="7" bestFit="1" customWidth="1"/>
    <col min="38" max="38" width="5.109375" style="7" bestFit="1" customWidth="1"/>
    <col min="39" max="39" width="4.33203125" style="7" bestFit="1" customWidth="1"/>
    <col min="40" max="40" width="5.33203125" style="7" bestFit="1" customWidth="1"/>
    <col min="41" max="41" width="9.109375" style="7"/>
    <col min="42" max="42" width="9.33203125" style="7" bestFit="1" customWidth="1"/>
    <col min="43" max="44" width="14.33203125" style="7" customWidth="1"/>
    <col min="45" max="45" width="18" style="7" customWidth="1"/>
    <col min="46" max="46" width="10.5546875" style="7" customWidth="1"/>
    <col min="47" max="47" width="9.88671875" style="7" customWidth="1"/>
    <col min="48" max="48" width="9.33203125" style="7" bestFit="1" customWidth="1"/>
    <col min="49" max="49" width="12.109375" style="7" customWidth="1"/>
    <col min="50" max="50" width="9.33203125" style="7" bestFit="1" customWidth="1"/>
    <col min="51" max="51" width="11.88671875" style="7" customWidth="1"/>
    <col min="52" max="52" width="14.33203125" style="7" bestFit="1" customWidth="1"/>
    <col min="53" max="53" width="15.44140625" style="7" customWidth="1"/>
    <col min="54" max="54" width="12.88671875" style="7" customWidth="1"/>
    <col min="55" max="55" width="14.5546875" style="7" bestFit="1" customWidth="1"/>
    <col min="56" max="56" width="13.5546875" style="7" customWidth="1"/>
    <col min="57" max="16384" width="9.109375" style="7"/>
  </cols>
  <sheetData>
    <row r="1" spans="4:68" x14ac:dyDescent="0.3">
      <c r="AO1" s="37"/>
      <c r="BE1" s="37"/>
      <c r="BF1" s="37"/>
      <c r="BG1" s="37"/>
      <c r="BH1" s="37"/>
      <c r="BI1" s="37"/>
      <c r="BJ1" s="37"/>
      <c r="BK1" s="37"/>
    </row>
    <row r="2" spans="4:68" x14ac:dyDescent="0.3">
      <c r="AO2" s="37"/>
      <c r="BE2" s="37"/>
      <c r="BF2" s="37"/>
      <c r="BG2" s="37"/>
      <c r="BH2" s="37"/>
      <c r="BI2" s="37"/>
      <c r="BJ2" s="37"/>
      <c r="BK2" s="37"/>
    </row>
    <row r="3" spans="4:68" x14ac:dyDescent="0.3"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  <c r="AA3" s="37"/>
      <c r="AB3" s="37"/>
      <c r="AC3" s="37"/>
      <c r="AD3" s="37"/>
      <c r="AE3" s="37"/>
      <c r="AF3" s="37"/>
      <c r="AG3" s="37"/>
      <c r="AH3" s="37"/>
      <c r="AI3" s="37"/>
      <c r="AJ3" s="37"/>
      <c r="AK3" s="37"/>
      <c r="AL3" s="37"/>
      <c r="AM3" s="37"/>
      <c r="AN3" s="37"/>
      <c r="AO3" s="37"/>
      <c r="AP3" s="37"/>
      <c r="AQ3" s="37"/>
      <c r="AR3" s="37"/>
      <c r="AS3" s="37"/>
      <c r="AT3" s="37"/>
      <c r="AU3" s="37"/>
      <c r="AV3" s="37"/>
      <c r="AW3" s="37"/>
      <c r="AX3" s="37"/>
      <c r="AY3" s="37"/>
      <c r="AZ3" s="37"/>
      <c r="BA3" s="37"/>
      <c r="BB3" s="37"/>
      <c r="BC3" s="37"/>
      <c r="BD3" s="37"/>
      <c r="BE3" s="37"/>
      <c r="BF3" s="37"/>
      <c r="BG3" s="37"/>
      <c r="BH3" s="37"/>
      <c r="BI3" s="37"/>
      <c r="BJ3" s="37"/>
      <c r="BK3" s="37"/>
      <c r="BL3" s="37"/>
      <c r="BM3" s="37"/>
      <c r="BN3" s="37"/>
      <c r="BO3" s="37"/>
      <c r="BP3" s="37"/>
    </row>
    <row r="4" spans="4:68" ht="15" thickBot="1" x14ac:dyDescent="0.35">
      <c r="D4" s="37"/>
      <c r="E4" s="41"/>
      <c r="F4" s="41"/>
      <c r="G4" s="42" t="s">
        <v>26</v>
      </c>
      <c r="H4" s="43">
        <v>45931</v>
      </c>
      <c r="I4" s="42"/>
      <c r="J4" s="42" t="s">
        <v>27</v>
      </c>
      <c r="K4" s="43">
        <f>EOMONTH(H4,0)</f>
        <v>45961</v>
      </c>
      <c r="L4" s="42"/>
      <c r="M4" s="42"/>
      <c r="N4" s="42">
        <f>(DATEDIF($H$4,$K$4,"D"))+1</f>
        <v>31</v>
      </c>
      <c r="O4" s="44" t="str">
        <f>TEXT(H4,"MMMM")</f>
        <v>October</v>
      </c>
      <c r="P4" s="42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41"/>
      <c r="AC4" s="41"/>
      <c r="AD4" s="41"/>
      <c r="AE4" s="41"/>
      <c r="AF4" s="41"/>
      <c r="AG4" s="41"/>
      <c r="AH4" s="41"/>
      <c r="AI4" s="41"/>
      <c r="AJ4" s="41"/>
      <c r="AK4" s="41"/>
      <c r="AL4" s="41"/>
      <c r="AM4" s="41"/>
      <c r="AN4" s="41"/>
      <c r="AO4" s="37"/>
      <c r="AP4" s="37"/>
      <c r="AQ4" s="37"/>
      <c r="AR4" s="37"/>
      <c r="AS4" s="37"/>
      <c r="AT4" s="37"/>
      <c r="AU4" s="37"/>
      <c r="AV4" s="38"/>
      <c r="AW4" s="37"/>
      <c r="AX4" s="37"/>
      <c r="AY4" s="37"/>
      <c r="AZ4" s="37"/>
      <c r="BA4" s="37"/>
      <c r="BB4" s="37"/>
      <c r="BC4" s="37"/>
      <c r="BD4" s="37"/>
      <c r="BE4" s="37"/>
      <c r="BF4" s="37"/>
      <c r="BG4" s="37"/>
      <c r="BH4" s="37"/>
      <c r="BI4" s="37"/>
      <c r="BJ4" s="37"/>
      <c r="BK4" s="37"/>
      <c r="BL4" s="37"/>
      <c r="BM4" s="37"/>
      <c r="BN4" s="37"/>
      <c r="BO4" s="37"/>
      <c r="BP4" s="37"/>
    </row>
    <row r="5" spans="4:68" ht="15" thickBot="1" x14ac:dyDescent="0.35">
      <c r="D5" s="37"/>
      <c r="E5" s="41"/>
      <c r="F5" s="88" t="s">
        <v>40</v>
      </c>
      <c r="G5" s="89"/>
      <c r="H5" s="89"/>
      <c r="I5" s="8" t="s">
        <v>29</v>
      </c>
      <c r="J5" s="8" t="str">
        <f>TEXT(J6,"DDD")</f>
        <v>Wed</v>
      </c>
      <c r="K5" s="8" t="str">
        <f t="shared" ref="K5:AN5" si="0">TEXT(K6,"DDD")</f>
        <v>Thu</v>
      </c>
      <c r="L5" s="8" t="str">
        <f t="shared" si="0"/>
        <v>Fri</v>
      </c>
      <c r="M5" s="8" t="str">
        <f t="shared" si="0"/>
        <v>Sat</v>
      </c>
      <c r="N5" s="8" t="str">
        <f t="shared" si="0"/>
        <v>Sun</v>
      </c>
      <c r="O5" s="8" t="str">
        <f t="shared" si="0"/>
        <v>Mon</v>
      </c>
      <c r="P5" s="8" t="str">
        <f t="shared" si="0"/>
        <v>Tue</v>
      </c>
      <c r="Q5" s="8" t="str">
        <f t="shared" si="0"/>
        <v>Wed</v>
      </c>
      <c r="R5" s="8" t="str">
        <f t="shared" si="0"/>
        <v>Thu</v>
      </c>
      <c r="S5" s="8" t="str">
        <f t="shared" si="0"/>
        <v>Fri</v>
      </c>
      <c r="T5" s="8" t="str">
        <f t="shared" si="0"/>
        <v>Sat</v>
      </c>
      <c r="U5" s="8" t="str">
        <f t="shared" si="0"/>
        <v>Sun</v>
      </c>
      <c r="V5" s="8" t="str">
        <f t="shared" si="0"/>
        <v>Mon</v>
      </c>
      <c r="W5" s="8" t="str">
        <f t="shared" si="0"/>
        <v>Tue</v>
      </c>
      <c r="X5" s="8" t="str">
        <f t="shared" si="0"/>
        <v>Wed</v>
      </c>
      <c r="Y5" s="8" t="str">
        <f t="shared" si="0"/>
        <v>Thu</v>
      </c>
      <c r="Z5" s="8" t="str">
        <f t="shared" si="0"/>
        <v>Fri</v>
      </c>
      <c r="AA5" s="8" t="str">
        <f t="shared" si="0"/>
        <v>Sat</v>
      </c>
      <c r="AB5" s="8" t="str">
        <f t="shared" si="0"/>
        <v>Sun</v>
      </c>
      <c r="AC5" s="8" t="str">
        <f t="shared" si="0"/>
        <v>Mon</v>
      </c>
      <c r="AD5" s="8" t="str">
        <f t="shared" si="0"/>
        <v>Tue</v>
      </c>
      <c r="AE5" s="8" t="str">
        <f t="shared" si="0"/>
        <v>Wed</v>
      </c>
      <c r="AF5" s="8" t="str">
        <f t="shared" si="0"/>
        <v>Thu</v>
      </c>
      <c r="AG5" s="8" t="str">
        <f t="shared" si="0"/>
        <v>Fri</v>
      </c>
      <c r="AH5" s="8" t="str">
        <f t="shared" si="0"/>
        <v>Sat</v>
      </c>
      <c r="AI5" s="8" t="str">
        <f t="shared" si="0"/>
        <v>Sun</v>
      </c>
      <c r="AJ5" s="8" t="str">
        <f t="shared" si="0"/>
        <v>Mon</v>
      </c>
      <c r="AK5" s="8" t="str">
        <f t="shared" si="0"/>
        <v>Tue</v>
      </c>
      <c r="AL5" s="8" t="str">
        <f t="shared" si="0"/>
        <v>Wed</v>
      </c>
      <c r="AM5" s="8" t="str">
        <f t="shared" si="0"/>
        <v>Thu</v>
      </c>
      <c r="AN5" s="9" t="str">
        <f t="shared" si="0"/>
        <v>Fri</v>
      </c>
      <c r="AO5" s="39"/>
      <c r="AP5" s="39"/>
      <c r="AQ5" s="39"/>
      <c r="AR5" s="39"/>
      <c r="AS5" s="39"/>
      <c r="AT5" s="39"/>
      <c r="AU5" s="39"/>
      <c r="AV5" s="39"/>
      <c r="AW5" s="39"/>
      <c r="AX5" s="39"/>
      <c r="AY5" s="39"/>
      <c r="AZ5" s="39"/>
      <c r="BA5" s="39"/>
      <c r="BB5" s="39"/>
      <c r="BC5" s="39"/>
      <c r="BD5" s="39"/>
      <c r="BE5" s="39"/>
      <c r="BF5" s="37"/>
      <c r="BG5" s="37"/>
      <c r="BH5" s="37"/>
      <c r="BI5" s="37"/>
      <c r="BJ5" s="37"/>
      <c r="BK5" s="37"/>
    </row>
    <row r="6" spans="4:68" ht="18.600000000000001" thickBot="1" x14ac:dyDescent="0.35">
      <c r="D6" s="37"/>
      <c r="E6" s="41"/>
      <c r="F6" s="10" t="s">
        <v>24</v>
      </c>
      <c r="G6" s="11" t="s">
        <v>23</v>
      </c>
      <c r="H6" s="12" t="s">
        <v>25</v>
      </c>
      <c r="I6" s="13" t="s">
        <v>28</v>
      </c>
      <c r="J6" s="14">
        <f>H4</f>
        <v>45931</v>
      </c>
      <c r="K6" s="14">
        <f>IF(J6&lt;$K$4,J6+1,"")</f>
        <v>45932</v>
      </c>
      <c r="L6" s="14">
        <f t="shared" ref="L6:AL6" si="1">IF(K6&lt;$K$4,K6+1,"")</f>
        <v>45933</v>
      </c>
      <c r="M6" s="14">
        <f t="shared" si="1"/>
        <v>45934</v>
      </c>
      <c r="N6" s="14">
        <f t="shared" si="1"/>
        <v>45935</v>
      </c>
      <c r="O6" s="14">
        <f t="shared" si="1"/>
        <v>45936</v>
      </c>
      <c r="P6" s="14">
        <f t="shared" si="1"/>
        <v>45937</v>
      </c>
      <c r="Q6" s="14">
        <f t="shared" si="1"/>
        <v>45938</v>
      </c>
      <c r="R6" s="14">
        <f t="shared" si="1"/>
        <v>45939</v>
      </c>
      <c r="S6" s="14">
        <f t="shared" si="1"/>
        <v>45940</v>
      </c>
      <c r="T6" s="14">
        <f t="shared" si="1"/>
        <v>45941</v>
      </c>
      <c r="U6" s="14">
        <f t="shared" si="1"/>
        <v>45942</v>
      </c>
      <c r="V6" s="14">
        <f t="shared" si="1"/>
        <v>45943</v>
      </c>
      <c r="W6" s="14">
        <f t="shared" si="1"/>
        <v>45944</v>
      </c>
      <c r="X6" s="14">
        <f t="shared" si="1"/>
        <v>45945</v>
      </c>
      <c r="Y6" s="14">
        <f t="shared" si="1"/>
        <v>45946</v>
      </c>
      <c r="Z6" s="14">
        <f t="shared" si="1"/>
        <v>45947</v>
      </c>
      <c r="AA6" s="14">
        <f t="shared" si="1"/>
        <v>45948</v>
      </c>
      <c r="AB6" s="14">
        <f t="shared" si="1"/>
        <v>45949</v>
      </c>
      <c r="AC6" s="14">
        <f t="shared" si="1"/>
        <v>45950</v>
      </c>
      <c r="AD6" s="14">
        <f t="shared" si="1"/>
        <v>45951</v>
      </c>
      <c r="AE6" s="14">
        <f t="shared" si="1"/>
        <v>45952</v>
      </c>
      <c r="AF6" s="14">
        <f t="shared" si="1"/>
        <v>45953</v>
      </c>
      <c r="AG6" s="14">
        <f t="shared" si="1"/>
        <v>45954</v>
      </c>
      <c r="AH6" s="14">
        <f t="shared" si="1"/>
        <v>45955</v>
      </c>
      <c r="AI6" s="14">
        <f t="shared" si="1"/>
        <v>45956</v>
      </c>
      <c r="AJ6" s="14">
        <f t="shared" si="1"/>
        <v>45957</v>
      </c>
      <c r="AK6" s="14">
        <f t="shared" si="1"/>
        <v>45958</v>
      </c>
      <c r="AL6" s="14">
        <f t="shared" si="1"/>
        <v>45959</v>
      </c>
      <c r="AM6" s="14">
        <f t="shared" ref="AM6:AN6" si="2">IF(AL6&lt;=$K$4,AL6+1,"")</f>
        <v>45960</v>
      </c>
      <c r="AN6" s="15">
        <f t="shared" si="2"/>
        <v>45961</v>
      </c>
      <c r="AO6" s="40"/>
      <c r="AP6" s="34" t="s">
        <v>24</v>
      </c>
      <c r="AQ6" s="35" t="s">
        <v>23</v>
      </c>
      <c r="AR6" s="35" t="s">
        <v>41</v>
      </c>
      <c r="AS6" s="35" t="s">
        <v>25</v>
      </c>
      <c r="AT6" s="35" t="s">
        <v>30</v>
      </c>
      <c r="AU6" s="35" t="s">
        <v>31</v>
      </c>
      <c r="AV6" s="35" t="s">
        <v>32</v>
      </c>
      <c r="AW6" s="35" t="s">
        <v>38</v>
      </c>
      <c r="AX6" s="35" t="s">
        <v>29</v>
      </c>
      <c r="AY6" s="35" t="s">
        <v>33</v>
      </c>
      <c r="AZ6" s="35" t="s">
        <v>34</v>
      </c>
      <c r="BA6" s="35" t="s">
        <v>35</v>
      </c>
      <c r="BB6" s="35" t="s">
        <v>36</v>
      </c>
      <c r="BC6" s="35" t="s">
        <v>37</v>
      </c>
      <c r="BD6" s="36" t="s">
        <v>39</v>
      </c>
      <c r="BE6" s="39"/>
      <c r="BF6" s="37"/>
      <c r="BG6" s="37"/>
      <c r="BH6" s="37"/>
      <c r="BI6" s="37"/>
      <c r="BJ6" s="37"/>
      <c r="BK6" s="37"/>
    </row>
    <row r="7" spans="4:68" x14ac:dyDescent="0.3">
      <c r="D7" s="37"/>
      <c r="E7" s="41"/>
      <c r="F7" s="16">
        <v>1</v>
      </c>
      <c r="G7" s="17">
        <v>1001</v>
      </c>
      <c r="H7" s="18" t="s">
        <v>3</v>
      </c>
      <c r="I7" s="45">
        <f>COUNTIF($J$5:$AN$5,"SUN")</f>
        <v>4</v>
      </c>
      <c r="J7" s="48" t="s">
        <v>42</v>
      </c>
      <c r="K7" s="48" t="s">
        <v>44</v>
      </c>
      <c r="L7" s="48" t="s">
        <v>42</v>
      </c>
      <c r="M7" s="48" t="s">
        <v>42</v>
      </c>
      <c r="N7" s="48" t="str">
        <f t="shared" ref="N7:AI15" si="3">IF(N$5="Sun","WO","")</f>
        <v>WO</v>
      </c>
      <c r="O7" s="48" t="s">
        <v>42</v>
      </c>
      <c r="P7" s="48" t="s">
        <v>42</v>
      </c>
      <c r="Q7" s="48" t="s">
        <v>42</v>
      </c>
      <c r="R7" s="48" t="s">
        <v>42</v>
      </c>
      <c r="S7" s="48" t="s">
        <v>44</v>
      </c>
      <c r="T7" s="48" t="s">
        <v>42</v>
      </c>
      <c r="U7" s="48" t="str">
        <f t="shared" si="3"/>
        <v>WO</v>
      </c>
      <c r="V7" s="48" t="s">
        <v>42</v>
      </c>
      <c r="W7" s="48" t="s">
        <v>42</v>
      </c>
      <c r="X7" s="48" t="s">
        <v>42</v>
      </c>
      <c r="Y7" s="48" t="s">
        <v>42</v>
      </c>
      <c r="Z7" s="48" t="s">
        <v>42</v>
      </c>
      <c r="AA7" s="48" t="s">
        <v>42</v>
      </c>
      <c r="AB7" s="48" t="str">
        <f t="shared" si="3"/>
        <v>WO</v>
      </c>
      <c r="AC7" s="48" t="s">
        <v>42</v>
      </c>
      <c r="AD7" s="48" t="s">
        <v>42</v>
      </c>
      <c r="AE7" s="48" t="s">
        <v>42</v>
      </c>
      <c r="AF7" s="48" t="s">
        <v>44</v>
      </c>
      <c r="AG7" s="48" t="s">
        <v>42</v>
      </c>
      <c r="AH7" s="48" t="s">
        <v>42</v>
      </c>
      <c r="AI7" s="48" t="str">
        <f t="shared" si="3"/>
        <v>WO</v>
      </c>
      <c r="AJ7" s="48" t="s">
        <v>42</v>
      </c>
      <c r="AK7" s="48" t="s">
        <v>42</v>
      </c>
      <c r="AL7" s="48" t="s">
        <v>42</v>
      </c>
      <c r="AM7" s="48" t="s">
        <v>42</v>
      </c>
      <c r="AN7" s="49" t="s">
        <v>42</v>
      </c>
      <c r="AO7" s="39"/>
      <c r="AP7" s="28">
        <v>1</v>
      </c>
      <c r="AQ7" s="21">
        <v>1001</v>
      </c>
      <c r="AR7" s="33" t="str">
        <f t="shared" ref="AR7:AR26" si="4">$O$4</f>
        <v>October</v>
      </c>
      <c r="AS7" s="21" t="s">
        <v>3</v>
      </c>
      <c r="AT7" s="29">
        <f t="shared" ref="AT7:AT26" si="5">COUNTIF($J7:$AN7,"*P*")</f>
        <v>24</v>
      </c>
      <c r="AU7" s="29">
        <f t="shared" ref="AU7:AU26" si="6">COUNTIF($J7:$AN7,"*A*")</f>
        <v>0</v>
      </c>
      <c r="AV7" s="29">
        <f t="shared" ref="AV7:AV26" si="7">COUNTIF($J7:$AN7,"*L*")</f>
        <v>3</v>
      </c>
      <c r="AW7" s="29">
        <f t="shared" ref="AW7:AW26" si="8">I7</f>
        <v>4</v>
      </c>
      <c r="AX7" s="30">
        <f>$N$4</f>
        <v>31</v>
      </c>
      <c r="AY7" s="29">
        <f>OCTReport[[#This Row],[Days]]-OCTReport[[#This Row],[Adsent]]</f>
        <v>31</v>
      </c>
      <c r="AZ7" s="31">
        <v>10000</v>
      </c>
      <c r="BA7" s="32">
        <f>OCTReport[[#This Row],[Salary]]/OCTReport[[#This Row],[Days]]</f>
        <v>322.58064516129031</v>
      </c>
      <c r="BB7" s="31">
        <f>OCTReport[[#This Row],[Perday salary]]*OCTReport[[#This Row],[Adsent]]</f>
        <v>0</v>
      </c>
      <c r="BC7" s="31">
        <f>OCTReport[[#This Row],[Salary]]-OCTReport[[#This Row],[Detuction ]]</f>
        <v>10000</v>
      </c>
      <c r="BD7" s="29"/>
      <c r="BE7" s="39"/>
      <c r="BF7" s="37"/>
      <c r="BG7" s="37"/>
      <c r="BH7" s="37"/>
      <c r="BI7" s="37"/>
      <c r="BJ7" s="37"/>
      <c r="BK7" s="37"/>
    </row>
    <row r="8" spans="4:68" x14ac:dyDescent="0.3">
      <c r="D8" s="37"/>
      <c r="E8" s="41"/>
      <c r="F8" s="20">
        <v>2</v>
      </c>
      <c r="G8" s="21">
        <v>1002</v>
      </c>
      <c r="H8" s="22" t="s">
        <v>4</v>
      </c>
      <c r="I8" s="46">
        <f t="shared" ref="I8:I26" si="9">COUNTIF($J$5:$AN$5,"SUN")</f>
        <v>4</v>
      </c>
      <c r="J8" s="50" t="s">
        <v>42</v>
      </c>
      <c r="K8" s="50" t="s">
        <v>44</v>
      </c>
      <c r="L8" s="50" t="s">
        <v>42</v>
      </c>
      <c r="M8" s="50" t="s">
        <v>42</v>
      </c>
      <c r="N8" s="50" t="str">
        <f t="shared" si="3"/>
        <v>WO</v>
      </c>
      <c r="O8" s="50" t="s">
        <v>42</v>
      </c>
      <c r="P8" s="50" t="s">
        <v>42</v>
      </c>
      <c r="Q8" s="50" t="s">
        <v>42</v>
      </c>
      <c r="R8" s="50" t="s">
        <v>42</v>
      </c>
      <c r="S8" s="50" t="s">
        <v>44</v>
      </c>
      <c r="T8" s="50" t="s">
        <v>42</v>
      </c>
      <c r="U8" s="50" t="str">
        <f t="shared" si="3"/>
        <v>WO</v>
      </c>
      <c r="V8" s="50" t="s">
        <v>42</v>
      </c>
      <c r="W8" s="50" t="s">
        <v>42</v>
      </c>
      <c r="X8" s="50" t="s">
        <v>42</v>
      </c>
      <c r="Y8" s="50" t="s">
        <v>42</v>
      </c>
      <c r="Z8" s="50" t="s">
        <v>42</v>
      </c>
      <c r="AA8" s="50" t="s">
        <v>42</v>
      </c>
      <c r="AB8" s="50" t="str">
        <f t="shared" si="3"/>
        <v>WO</v>
      </c>
      <c r="AC8" s="50" t="s">
        <v>42</v>
      </c>
      <c r="AD8" s="50" t="s">
        <v>42</v>
      </c>
      <c r="AE8" s="50" t="s">
        <v>42</v>
      </c>
      <c r="AF8" s="50" t="s">
        <v>44</v>
      </c>
      <c r="AG8" s="50" t="s">
        <v>42</v>
      </c>
      <c r="AH8" s="50" t="s">
        <v>42</v>
      </c>
      <c r="AI8" s="50" t="str">
        <f t="shared" si="3"/>
        <v>WO</v>
      </c>
      <c r="AJ8" s="50" t="s">
        <v>42</v>
      </c>
      <c r="AK8" s="50" t="s">
        <v>42</v>
      </c>
      <c r="AL8" s="50" t="s">
        <v>42</v>
      </c>
      <c r="AM8" s="50" t="s">
        <v>42</v>
      </c>
      <c r="AN8" s="51" t="s">
        <v>42</v>
      </c>
      <c r="AO8" s="39"/>
      <c r="AP8" s="28">
        <v>2</v>
      </c>
      <c r="AQ8" s="21">
        <v>1002</v>
      </c>
      <c r="AR8" s="33" t="str">
        <f t="shared" si="4"/>
        <v>October</v>
      </c>
      <c r="AS8" s="21" t="s">
        <v>4</v>
      </c>
      <c r="AT8" s="29">
        <f t="shared" si="5"/>
        <v>24</v>
      </c>
      <c r="AU8" s="29">
        <f t="shared" si="6"/>
        <v>0</v>
      </c>
      <c r="AV8" s="29">
        <f t="shared" si="7"/>
        <v>3</v>
      </c>
      <c r="AW8" s="29">
        <f t="shared" si="8"/>
        <v>4</v>
      </c>
      <c r="AX8" s="30">
        <f t="shared" ref="AX8:AX26" si="10">$N$4</f>
        <v>31</v>
      </c>
      <c r="AY8" s="29">
        <f>OCTReport[[#This Row],[Days]]-OCTReport[[#This Row],[Adsent]]</f>
        <v>31</v>
      </c>
      <c r="AZ8" s="31">
        <v>20000</v>
      </c>
      <c r="BA8" s="32">
        <f>OCTReport[[#This Row],[Salary]]/OCTReport[[#This Row],[Days]]</f>
        <v>645.16129032258061</v>
      </c>
      <c r="BB8" s="31">
        <f>OCTReport[[#This Row],[Perday salary]]*OCTReport[[#This Row],[Adsent]]</f>
        <v>0</v>
      </c>
      <c r="BC8" s="31">
        <f>OCTReport[[#This Row],[Salary]]-OCTReport[[#This Row],[Detuction ]]</f>
        <v>20000</v>
      </c>
      <c r="BD8" s="29"/>
      <c r="BE8" s="39"/>
      <c r="BF8" s="37"/>
      <c r="BG8" s="37"/>
      <c r="BH8" s="37"/>
      <c r="BI8" s="37"/>
      <c r="BJ8" s="37"/>
      <c r="BK8" s="37"/>
    </row>
    <row r="9" spans="4:68" x14ac:dyDescent="0.3">
      <c r="D9" s="37"/>
      <c r="E9" s="41"/>
      <c r="F9" s="20">
        <v>3</v>
      </c>
      <c r="G9" s="21">
        <v>1003</v>
      </c>
      <c r="H9" s="22" t="s">
        <v>5</v>
      </c>
      <c r="I9" s="46">
        <f t="shared" si="9"/>
        <v>4</v>
      </c>
      <c r="J9" s="50" t="s">
        <v>42</v>
      </c>
      <c r="K9" s="50" t="s">
        <v>44</v>
      </c>
      <c r="L9" s="50" t="s">
        <v>42</v>
      </c>
      <c r="M9" s="50" t="s">
        <v>42</v>
      </c>
      <c r="N9" s="50" t="str">
        <f t="shared" si="3"/>
        <v>WO</v>
      </c>
      <c r="O9" s="50" t="s">
        <v>42</v>
      </c>
      <c r="P9" s="50" t="s">
        <v>42</v>
      </c>
      <c r="Q9" s="50" t="s">
        <v>42</v>
      </c>
      <c r="R9" s="50" t="s">
        <v>42</v>
      </c>
      <c r="S9" s="50" t="s">
        <v>44</v>
      </c>
      <c r="T9" s="50" t="s">
        <v>42</v>
      </c>
      <c r="U9" s="50" t="str">
        <f t="shared" si="3"/>
        <v>WO</v>
      </c>
      <c r="V9" s="50" t="s">
        <v>42</v>
      </c>
      <c r="W9" s="50" t="s">
        <v>42</v>
      </c>
      <c r="X9" s="50" t="s">
        <v>42</v>
      </c>
      <c r="Y9" s="50" t="s">
        <v>42</v>
      </c>
      <c r="Z9" s="50" t="s">
        <v>42</v>
      </c>
      <c r="AA9" s="50" t="s">
        <v>42</v>
      </c>
      <c r="AB9" s="50" t="str">
        <f t="shared" si="3"/>
        <v>WO</v>
      </c>
      <c r="AC9" s="50" t="s">
        <v>42</v>
      </c>
      <c r="AD9" s="50" t="s">
        <v>42</v>
      </c>
      <c r="AE9" s="50" t="s">
        <v>42</v>
      </c>
      <c r="AF9" s="50" t="s">
        <v>44</v>
      </c>
      <c r="AG9" s="50" t="s">
        <v>42</v>
      </c>
      <c r="AH9" s="50" t="s">
        <v>42</v>
      </c>
      <c r="AI9" s="50" t="str">
        <f t="shared" si="3"/>
        <v>WO</v>
      </c>
      <c r="AJ9" s="50" t="s">
        <v>42</v>
      </c>
      <c r="AK9" s="50" t="s">
        <v>42</v>
      </c>
      <c r="AL9" s="50" t="s">
        <v>42</v>
      </c>
      <c r="AM9" s="50" t="s">
        <v>42</v>
      </c>
      <c r="AN9" s="51" t="s">
        <v>42</v>
      </c>
      <c r="AO9" s="39"/>
      <c r="AP9" s="28">
        <v>3</v>
      </c>
      <c r="AQ9" s="21">
        <v>1003</v>
      </c>
      <c r="AR9" s="33" t="str">
        <f t="shared" si="4"/>
        <v>October</v>
      </c>
      <c r="AS9" s="21" t="s">
        <v>5</v>
      </c>
      <c r="AT9" s="29">
        <f t="shared" si="5"/>
        <v>24</v>
      </c>
      <c r="AU9" s="29">
        <f t="shared" si="6"/>
        <v>0</v>
      </c>
      <c r="AV9" s="29">
        <f t="shared" si="7"/>
        <v>3</v>
      </c>
      <c r="AW9" s="29">
        <f t="shared" si="8"/>
        <v>4</v>
      </c>
      <c r="AX9" s="30">
        <f t="shared" si="10"/>
        <v>31</v>
      </c>
      <c r="AY9" s="29">
        <f>OCTReport[[#This Row],[Days]]-OCTReport[[#This Row],[Adsent]]</f>
        <v>31</v>
      </c>
      <c r="AZ9" s="31">
        <v>25000</v>
      </c>
      <c r="BA9" s="32">
        <f>OCTReport[[#This Row],[Salary]]/OCTReport[[#This Row],[Days]]</f>
        <v>806.45161290322585</v>
      </c>
      <c r="BB9" s="31">
        <f>OCTReport[[#This Row],[Perday salary]]*OCTReport[[#This Row],[Adsent]]</f>
        <v>0</v>
      </c>
      <c r="BC9" s="31">
        <f>OCTReport[[#This Row],[Salary]]-OCTReport[[#This Row],[Detuction ]]</f>
        <v>25000</v>
      </c>
      <c r="BD9" s="29"/>
      <c r="BE9" s="39"/>
      <c r="BF9" s="37"/>
      <c r="BG9" s="37"/>
      <c r="BH9" s="37"/>
      <c r="BI9" s="37"/>
      <c r="BJ9" s="37"/>
      <c r="BK9" s="37"/>
    </row>
    <row r="10" spans="4:68" x14ac:dyDescent="0.3">
      <c r="D10" s="37"/>
      <c r="E10" s="41"/>
      <c r="F10" s="20">
        <v>4</v>
      </c>
      <c r="G10" s="21">
        <v>1004</v>
      </c>
      <c r="H10" s="22" t="s">
        <v>6</v>
      </c>
      <c r="I10" s="46">
        <f t="shared" si="9"/>
        <v>4</v>
      </c>
      <c r="J10" s="50" t="s">
        <v>42</v>
      </c>
      <c r="K10" s="50" t="s">
        <v>44</v>
      </c>
      <c r="L10" s="50" t="s">
        <v>42</v>
      </c>
      <c r="M10" s="50" t="s">
        <v>42</v>
      </c>
      <c r="N10" s="50" t="str">
        <f t="shared" si="3"/>
        <v>WO</v>
      </c>
      <c r="O10" s="50" t="s">
        <v>42</v>
      </c>
      <c r="P10" s="50" t="s">
        <v>42</v>
      </c>
      <c r="Q10" s="50" t="s">
        <v>42</v>
      </c>
      <c r="R10" s="50" t="s">
        <v>42</v>
      </c>
      <c r="S10" s="50" t="s">
        <v>44</v>
      </c>
      <c r="T10" s="50" t="s">
        <v>42</v>
      </c>
      <c r="U10" s="50" t="str">
        <f t="shared" si="3"/>
        <v>WO</v>
      </c>
      <c r="V10" s="50" t="s">
        <v>42</v>
      </c>
      <c r="W10" s="50" t="s">
        <v>42</v>
      </c>
      <c r="X10" s="50" t="s">
        <v>42</v>
      </c>
      <c r="Y10" s="50" t="s">
        <v>42</v>
      </c>
      <c r="Z10" s="50" t="s">
        <v>42</v>
      </c>
      <c r="AA10" s="50" t="s">
        <v>42</v>
      </c>
      <c r="AB10" s="50" t="str">
        <f t="shared" si="3"/>
        <v>WO</v>
      </c>
      <c r="AC10" s="50" t="s">
        <v>42</v>
      </c>
      <c r="AD10" s="50" t="s">
        <v>42</v>
      </c>
      <c r="AE10" s="50" t="s">
        <v>42</v>
      </c>
      <c r="AF10" s="50" t="s">
        <v>44</v>
      </c>
      <c r="AG10" s="50" t="s">
        <v>42</v>
      </c>
      <c r="AH10" s="50" t="s">
        <v>42</v>
      </c>
      <c r="AI10" s="50" t="str">
        <f t="shared" si="3"/>
        <v>WO</v>
      </c>
      <c r="AJ10" s="50" t="s">
        <v>42</v>
      </c>
      <c r="AK10" s="50" t="s">
        <v>42</v>
      </c>
      <c r="AL10" s="50" t="s">
        <v>42</v>
      </c>
      <c r="AM10" s="50" t="s">
        <v>42</v>
      </c>
      <c r="AN10" s="51" t="s">
        <v>42</v>
      </c>
      <c r="AO10" s="39"/>
      <c r="AP10" s="28">
        <v>4</v>
      </c>
      <c r="AQ10" s="21">
        <v>1004</v>
      </c>
      <c r="AR10" s="33" t="str">
        <f t="shared" si="4"/>
        <v>October</v>
      </c>
      <c r="AS10" s="21" t="s">
        <v>6</v>
      </c>
      <c r="AT10" s="29">
        <f t="shared" si="5"/>
        <v>24</v>
      </c>
      <c r="AU10" s="29">
        <f t="shared" si="6"/>
        <v>0</v>
      </c>
      <c r="AV10" s="29">
        <f t="shared" si="7"/>
        <v>3</v>
      </c>
      <c r="AW10" s="29">
        <f t="shared" si="8"/>
        <v>4</v>
      </c>
      <c r="AX10" s="30">
        <f t="shared" si="10"/>
        <v>31</v>
      </c>
      <c r="AY10" s="29">
        <f>OCTReport[[#This Row],[Days]]-OCTReport[[#This Row],[Adsent]]</f>
        <v>31</v>
      </c>
      <c r="AZ10" s="31">
        <v>30000</v>
      </c>
      <c r="BA10" s="32">
        <f>OCTReport[[#This Row],[Salary]]/OCTReport[[#This Row],[Days]]</f>
        <v>967.74193548387098</v>
      </c>
      <c r="BB10" s="31">
        <f>OCTReport[[#This Row],[Perday salary]]*OCTReport[[#This Row],[Adsent]]</f>
        <v>0</v>
      </c>
      <c r="BC10" s="31">
        <f>OCTReport[[#This Row],[Salary]]-OCTReport[[#This Row],[Detuction ]]</f>
        <v>30000</v>
      </c>
      <c r="BD10" s="29"/>
      <c r="BE10" s="39"/>
      <c r="BF10" s="37"/>
      <c r="BG10" s="37"/>
      <c r="BH10" s="37"/>
      <c r="BI10" s="37"/>
      <c r="BJ10" s="37"/>
      <c r="BK10" s="37"/>
    </row>
    <row r="11" spans="4:68" x14ac:dyDescent="0.3">
      <c r="D11" s="37"/>
      <c r="E11" s="41"/>
      <c r="F11" s="20">
        <v>5</v>
      </c>
      <c r="G11" s="21">
        <v>1005</v>
      </c>
      <c r="H11" s="22" t="s">
        <v>7</v>
      </c>
      <c r="I11" s="46">
        <f t="shared" si="9"/>
        <v>4</v>
      </c>
      <c r="J11" s="50" t="s">
        <v>42</v>
      </c>
      <c r="K11" s="50" t="s">
        <v>44</v>
      </c>
      <c r="L11" s="50" t="s">
        <v>42</v>
      </c>
      <c r="M11" s="50" t="s">
        <v>42</v>
      </c>
      <c r="N11" s="50" t="str">
        <f t="shared" si="3"/>
        <v>WO</v>
      </c>
      <c r="O11" s="50" t="s">
        <v>42</v>
      </c>
      <c r="P11" s="50" t="s">
        <v>42</v>
      </c>
      <c r="Q11" s="50" t="s">
        <v>42</v>
      </c>
      <c r="R11" s="50" t="s">
        <v>42</v>
      </c>
      <c r="S11" s="50" t="s">
        <v>44</v>
      </c>
      <c r="T11" s="50" t="s">
        <v>42</v>
      </c>
      <c r="U11" s="50" t="str">
        <f t="shared" si="3"/>
        <v>WO</v>
      </c>
      <c r="V11" s="50" t="s">
        <v>42</v>
      </c>
      <c r="W11" s="50" t="s">
        <v>42</v>
      </c>
      <c r="X11" s="50" t="s">
        <v>43</v>
      </c>
      <c r="Y11" s="50" t="s">
        <v>42</v>
      </c>
      <c r="Z11" s="50" t="s">
        <v>42</v>
      </c>
      <c r="AA11" s="50" t="s">
        <v>42</v>
      </c>
      <c r="AB11" s="50" t="str">
        <f t="shared" si="3"/>
        <v>WO</v>
      </c>
      <c r="AC11" s="50" t="s">
        <v>42</v>
      </c>
      <c r="AD11" s="50" t="s">
        <v>42</v>
      </c>
      <c r="AE11" s="50" t="s">
        <v>42</v>
      </c>
      <c r="AF11" s="50" t="s">
        <v>44</v>
      </c>
      <c r="AG11" s="50" t="s">
        <v>42</v>
      </c>
      <c r="AH11" s="50" t="s">
        <v>42</v>
      </c>
      <c r="AI11" s="50" t="str">
        <f t="shared" si="3"/>
        <v>WO</v>
      </c>
      <c r="AJ11" s="50" t="s">
        <v>42</v>
      </c>
      <c r="AK11" s="50" t="s">
        <v>42</v>
      </c>
      <c r="AL11" s="50" t="s">
        <v>43</v>
      </c>
      <c r="AM11" s="50" t="s">
        <v>42</v>
      </c>
      <c r="AN11" s="51" t="s">
        <v>42</v>
      </c>
      <c r="AO11" s="39"/>
      <c r="AP11" s="28">
        <v>5</v>
      </c>
      <c r="AQ11" s="21">
        <v>1005</v>
      </c>
      <c r="AR11" s="33" t="str">
        <f t="shared" si="4"/>
        <v>October</v>
      </c>
      <c r="AS11" s="21" t="s">
        <v>7</v>
      </c>
      <c r="AT11" s="29">
        <f t="shared" si="5"/>
        <v>22</v>
      </c>
      <c r="AU11" s="29">
        <f t="shared" si="6"/>
        <v>2</v>
      </c>
      <c r="AV11" s="29">
        <f t="shared" si="7"/>
        <v>3</v>
      </c>
      <c r="AW11" s="29">
        <f t="shared" si="8"/>
        <v>4</v>
      </c>
      <c r="AX11" s="30">
        <f t="shared" si="10"/>
        <v>31</v>
      </c>
      <c r="AY11" s="29">
        <f>OCTReport[[#This Row],[Days]]-OCTReport[[#This Row],[Adsent]]</f>
        <v>29</v>
      </c>
      <c r="AZ11" s="31">
        <v>45000</v>
      </c>
      <c r="BA11" s="32">
        <f>OCTReport[[#This Row],[Salary]]/OCTReport[[#This Row],[Days]]</f>
        <v>1451.6129032258063</v>
      </c>
      <c r="BB11" s="31">
        <f>OCTReport[[#This Row],[Perday salary]]*OCTReport[[#This Row],[Adsent]]</f>
        <v>2903.2258064516127</v>
      </c>
      <c r="BC11" s="31">
        <f>OCTReport[[#This Row],[Salary]]-OCTReport[[#This Row],[Detuction ]]</f>
        <v>42096.774193548386</v>
      </c>
      <c r="BD11" s="29"/>
      <c r="BE11" s="39"/>
      <c r="BF11" s="37"/>
      <c r="BG11" s="37"/>
      <c r="BH11" s="37"/>
      <c r="BI11" s="37"/>
      <c r="BJ11" s="37"/>
      <c r="BK11" s="37"/>
    </row>
    <row r="12" spans="4:68" x14ac:dyDescent="0.3">
      <c r="D12" s="37"/>
      <c r="E12" s="41"/>
      <c r="F12" s="20">
        <v>6</v>
      </c>
      <c r="G12" s="21">
        <v>1006</v>
      </c>
      <c r="H12" s="22" t="s">
        <v>8</v>
      </c>
      <c r="I12" s="46">
        <f t="shared" si="9"/>
        <v>4</v>
      </c>
      <c r="J12" s="50" t="s">
        <v>42</v>
      </c>
      <c r="K12" s="50" t="s">
        <v>44</v>
      </c>
      <c r="L12" s="50" t="s">
        <v>42</v>
      </c>
      <c r="M12" s="50" t="s">
        <v>42</v>
      </c>
      <c r="N12" s="50" t="str">
        <f t="shared" si="3"/>
        <v>WO</v>
      </c>
      <c r="O12" s="50" t="s">
        <v>42</v>
      </c>
      <c r="P12" s="50" t="s">
        <v>42</v>
      </c>
      <c r="Q12" s="50" t="s">
        <v>42</v>
      </c>
      <c r="R12" s="50" t="s">
        <v>42</v>
      </c>
      <c r="S12" s="50" t="s">
        <v>44</v>
      </c>
      <c r="T12" s="50" t="s">
        <v>42</v>
      </c>
      <c r="U12" s="50" t="str">
        <f t="shared" si="3"/>
        <v>WO</v>
      </c>
      <c r="V12" s="50" t="s">
        <v>42</v>
      </c>
      <c r="W12" s="50" t="s">
        <v>42</v>
      </c>
      <c r="X12" s="50" t="s">
        <v>42</v>
      </c>
      <c r="Y12" s="50" t="s">
        <v>42</v>
      </c>
      <c r="Z12" s="50" t="s">
        <v>42</v>
      </c>
      <c r="AA12" s="50" t="s">
        <v>42</v>
      </c>
      <c r="AB12" s="50" t="str">
        <f t="shared" si="3"/>
        <v>WO</v>
      </c>
      <c r="AC12" s="50" t="s">
        <v>42</v>
      </c>
      <c r="AD12" s="50" t="s">
        <v>42</v>
      </c>
      <c r="AE12" s="50" t="s">
        <v>42</v>
      </c>
      <c r="AF12" s="50" t="s">
        <v>44</v>
      </c>
      <c r="AG12" s="50" t="s">
        <v>42</v>
      </c>
      <c r="AH12" s="50" t="s">
        <v>42</v>
      </c>
      <c r="AI12" s="50" t="str">
        <f t="shared" si="3"/>
        <v>WO</v>
      </c>
      <c r="AJ12" s="50" t="s">
        <v>42</v>
      </c>
      <c r="AK12" s="50" t="s">
        <v>42</v>
      </c>
      <c r="AL12" s="50" t="s">
        <v>42</v>
      </c>
      <c r="AM12" s="50" t="s">
        <v>42</v>
      </c>
      <c r="AN12" s="51" t="s">
        <v>42</v>
      </c>
      <c r="AO12" s="39"/>
      <c r="AP12" s="28">
        <v>6</v>
      </c>
      <c r="AQ12" s="21">
        <v>1006</v>
      </c>
      <c r="AR12" s="33" t="str">
        <f t="shared" si="4"/>
        <v>October</v>
      </c>
      <c r="AS12" s="21" t="s">
        <v>8</v>
      </c>
      <c r="AT12" s="29">
        <f t="shared" si="5"/>
        <v>24</v>
      </c>
      <c r="AU12" s="29">
        <f t="shared" si="6"/>
        <v>0</v>
      </c>
      <c r="AV12" s="29">
        <f t="shared" si="7"/>
        <v>3</v>
      </c>
      <c r="AW12" s="29">
        <f t="shared" si="8"/>
        <v>4</v>
      </c>
      <c r="AX12" s="30">
        <f t="shared" si="10"/>
        <v>31</v>
      </c>
      <c r="AY12" s="29">
        <f>OCTReport[[#This Row],[Days]]-OCTReport[[#This Row],[Adsent]]</f>
        <v>31</v>
      </c>
      <c r="AZ12" s="31">
        <v>15000</v>
      </c>
      <c r="BA12" s="32">
        <f>OCTReport[[#This Row],[Salary]]/OCTReport[[#This Row],[Days]]</f>
        <v>483.87096774193549</v>
      </c>
      <c r="BB12" s="31">
        <f>OCTReport[[#This Row],[Perday salary]]*OCTReport[[#This Row],[Adsent]]</f>
        <v>0</v>
      </c>
      <c r="BC12" s="31">
        <f>OCTReport[[#This Row],[Salary]]-OCTReport[[#This Row],[Detuction ]]</f>
        <v>15000</v>
      </c>
      <c r="BD12" s="29"/>
      <c r="BE12" s="39"/>
      <c r="BF12" s="37"/>
      <c r="BG12" s="37"/>
      <c r="BH12" s="37"/>
      <c r="BI12" s="37"/>
      <c r="BJ12" s="37"/>
      <c r="BK12" s="37"/>
    </row>
    <row r="13" spans="4:68" x14ac:dyDescent="0.3">
      <c r="D13" s="37"/>
      <c r="E13" s="41"/>
      <c r="F13" s="20">
        <v>7</v>
      </c>
      <c r="G13" s="21">
        <v>1007</v>
      </c>
      <c r="H13" s="22" t="s">
        <v>9</v>
      </c>
      <c r="I13" s="46">
        <f t="shared" si="9"/>
        <v>4</v>
      </c>
      <c r="J13" s="50" t="s">
        <v>42</v>
      </c>
      <c r="K13" s="50" t="s">
        <v>44</v>
      </c>
      <c r="L13" s="50" t="s">
        <v>42</v>
      </c>
      <c r="M13" s="50" t="s">
        <v>42</v>
      </c>
      <c r="N13" s="50" t="str">
        <f t="shared" si="3"/>
        <v>WO</v>
      </c>
      <c r="O13" s="50" t="s">
        <v>43</v>
      </c>
      <c r="P13" s="50" t="s">
        <v>42</v>
      </c>
      <c r="Q13" s="50" t="s">
        <v>42</v>
      </c>
      <c r="R13" s="50" t="s">
        <v>42</v>
      </c>
      <c r="S13" s="50" t="s">
        <v>44</v>
      </c>
      <c r="T13" s="50" t="s">
        <v>42</v>
      </c>
      <c r="U13" s="50" t="str">
        <f t="shared" si="3"/>
        <v>WO</v>
      </c>
      <c r="V13" s="50" t="s">
        <v>42</v>
      </c>
      <c r="W13" s="50" t="s">
        <v>42</v>
      </c>
      <c r="X13" s="50" t="s">
        <v>42</v>
      </c>
      <c r="Y13" s="50" t="s">
        <v>42</v>
      </c>
      <c r="Z13" s="50" t="s">
        <v>42</v>
      </c>
      <c r="AA13" s="50" t="s">
        <v>42</v>
      </c>
      <c r="AB13" s="50" t="str">
        <f t="shared" si="3"/>
        <v>WO</v>
      </c>
      <c r="AC13" s="50" t="s">
        <v>42</v>
      </c>
      <c r="AD13" s="50" t="s">
        <v>42</v>
      </c>
      <c r="AE13" s="50" t="s">
        <v>42</v>
      </c>
      <c r="AF13" s="50" t="s">
        <v>44</v>
      </c>
      <c r="AG13" s="50" t="s">
        <v>42</v>
      </c>
      <c r="AH13" s="50" t="s">
        <v>42</v>
      </c>
      <c r="AI13" s="50" t="str">
        <f t="shared" si="3"/>
        <v>WO</v>
      </c>
      <c r="AJ13" s="50" t="s">
        <v>42</v>
      </c>
      <c r="AK13" s="50" t="s">
        <v>42</v>
      </c>
      <c r="AL13" s="50" t="s">
        <v>42</v>
      </c>
      <c r="AM13" s="50" t="s">
        <v>42</v>
      </c>
      <c r="AN13" s="51" t="s">
        <v>42</v>
      </c>
      <c r="AO13" s="39"/>
      <c r="AP13" s="28">
        <v>7</v>
      </c>
      <c r="AQ13" s="21">
        <v>1007</v>
      </c>
      <c r="AR13" s="33" t="str">
        <f t="shared" si="4"/>
        <v>October</v>
      </c>
      <c r="AS13" s="21" t="s">
        <v>9</v>
      </c>
      <c r="AT13" s="29">
        <f t="shared" si="5"/>
        <v>23</v>
      </c>
      <c r="AU13" s="29">
        <f t="shared" si="6"/>
        <v>1</v>
      </c>
      <c r="AV13" s="29">
        <f t="shared" si="7"/>
        <v>3</v>
      </c>
      <c r="AW13" s="29">
        <f t="shared" si="8"/>
        <v>4</v>
      </c>
      <c r="AX13" s="30">
        <f t="shared" si="10"/>
        <v>31</v>
      </c>
      <c r="AY13" s="29">
        <f>OCTReport[[#This Row],[Days]]-OCTReport[[#This Row],[Adsent]]</f>
        <v>30</v>
      </c>
      <c r="AZ13" s="31">
        <v>62000</v>
      </c>
      <c r="BA13" s="32">
        <f>OCTReport[[#This Row],[Salary]]/OCTReport[[#This Row],[Days]]</f>
        <v>2000</v>
      </c>
      <c r="BB13" s="31">
        <f>OCTReport[[#This Row],[Perday salary]]*OCTReport[[#This Row],[Adsent]]</f>
        <v>2000</v>
      </c>
      <c r="BC13" s="31">
        <f>OCTReport[[#This Row],[Salary]]-OCTReport[[#This Row],[Detuction ]]</f>
        <v>60000</v>
      </c>
      <c r="BD13" s="29"/>
      <c r="BE13" s="39"/>
      <c r="BF13" s="37"/>
      <c r="BG13" s="37"/>
      <c r="BH13" s="37"/>
      <c r="BI13" s="37"/>
      <c r="BJ13" s="37"/>
      <c r="BK13" s="37"/>
    </row>
    <row r="14" spans="4:68" x14ac:dyDescent="0.3">
      <c r="D14" s="37"/>
      <c r="E14" s="41"/>
      <c r="F14" s="20">
        <v>8</v>
      </c>
      <c r="G14" s="21">
        <v>1008</v>
      </c>
      <c r="H14" s="22" t="s">
        <v>10</v>
      </c>
      <c r="I14" s="46">
        <f t="shared" si="9"/>
        <v>4</v>
      </c>
      <c r="J14" s="50" t="s">
        <v>42</v>
      </c>
      <c r="K14" s="50" t="s">
        <v>44</v>
      </c>
      <c r="L14" s="50" t="s">
        <v>42</v>
      </c>
      <c r="M14" s="50" t="s">
        <v>42</v>
      </c>
      <c r="N14" s="50" t="str">
        <f t="shared" si="3"/>
        <v>WO</v>
      </c>
      <c r="O14" s="50" t="s">
        <v>42</v>
      </c>
      <c r="P14" s="50" t="s">
        <v>42</v>
      </c>
      <c r="Q14" s="50" t="s">
        <v>42</v>
      </c>
      <c r="R14" s="50" t="s">
        <v>42</v>
      </c>
      <c r="S14" s="50" t="s">
        <v>44</v>
      </c>
      <c r="T14" s="50" t="s">
        <v>42</v>
      </c>
      <c r="U14" s="50" t="str">
        <f t="shared" si="3"/>
        <v>WO</v>
      </c>
      <c r="V14" s="50" t="s">
        <v>42</v>
      </c>
      <c r="W14" s="50" t="s">
        <v>42</v>
      </c>
      <c r="X14" s="50" t="s">
        <v>42</v>
      </c>
      <c r="Y14" s="50" t="s">
        <v>42</v>
      </c>
      <c r="Z14" s="50" t="s">
        <v>42</v>
      </c>
      <c r="AA14" s="50" t="s">
        <v>42</v>
      </c>
      <c r="AB14" s="50" t="str">
        <f t="shared" si="3"/>
        <v>WO</v>
      </c>
      <c r="AC14" s="50" t="s">
        <v>42</v>
      </c>
      <c r="AD14" s="50" t="s">
        <v>42</v>
      </c>
      <c r="AE14" s="50" t="s">
        <v>42</v>
      </c>
      <c r="AF14" s="50" t="s">
        <v>44</v>
      </c>
      <c r="AG14" s="50" t="s">
        <v>42</v>
      </c>
      <c r="AH14" s="50" t="s">
        <v>42</v>
      </c>
      <c r="AI14" s="50" t="str">
        <f t="shared" si="3"/>
        <v>WO</v>
      </c>
      <c r="AJ14" s="50" t="s">
        <v>42</v>
      </c>
      <c r="AK14" s="50" t="s">
        <v>42</v>
      </c>
      <c r="AL14" s="50" t="s">
        <v>42</v>
      </c>
      <c r="AM14" s="50" t="s">
        <v>42</v>
      </c>
      <c r="AN14" s="51" t="s">
        <v>42</v>
      </c>
      <c r="AO14" s="39"/>
      <c r="AP14" s="28">
        <v>8</v>
      </c>
      <c r="AQ14" s="21">
        <v>1008</v>
      </c>
      <c r="AR14" s="33" t="str">
        <f t="shared" si="4"/>
        <v>October</v>
      </c>
      <c r="AS14" s="21" t="s">
        <v>10</v>
      </c>
      <c r="AT14" s="29">
        <f t="shared" si="5"/>
        <v>24</v>
      </c>
      <c r="AU14" s="29">
        <f t="shared" si="6"/>
        <v>0</v>
      </c>
      <c r="AV14" s="29">
        <f t="shared" si="7"/>
        <v>3</v>
      </c>
      <c r="AW14" s="29">
        <f t="shared" si="8"/>
        <v>4</v>
      </c>
      <c r="AX14" s="30">
        <f t="shared" si="10"/>
        <v>31</v>
      </c>
      <c r="AY14" s="29">
        <f>OCTReport[[#This Row],[Days]]-OCTReport[[#This Row],[Adsent]]</f>
        <v>31</v>
      </c>
      <c r="AZ14" s="31">
        <v>50000</v>
      </c>
      <c r="BA14" s="32">
        <f>OCTReport[[#This Row],[Salary]]/OCTReport[[#This Row],[Days]]</f>
        <v>1612.9032258064517</v>
      </c>
      <c r="BB14" s="31">
        <f>OCTReport[[#This Row],[Perday salary]]*OCTReport[[#This Row],[Adsent]]</f>
        <v>0</v>
      </c>
      <c r="BC14" s="31">
        <f>OCTReport[[#This Row],[Salary]]-OCTReport[[#This Row],[Detuction ]]</f>
        <v>50000</v>
      </c>
      <c r="BD14" s="29"/>
      <c r="BE14" s="39"/>
      <c r="BF14" s="37"/>
      <c r="BG14" s="37"/>
      <c r="BH14" s="37"/>
      <c r="BI14" s="37"/>
      <c r="BJ14" s="37"/>
      <c r="BK14" s="37"/>
    </row>
    <row r="15" spans="4:68" x14ac:dyDescent="0.3">
      <c r="D15" s="37"/>
      <c r="E15" s="41"/>
      <c r="F15" s="20">
        <v>9</v>
      </c>
      <c r="G15" s="21">
        <v>1009</v>
      </c>
      <c r="H15" s="22" t="s">
        <v>11</v>
      </c>
      <c r="I15" s="46">
        <f t="shared" si="9"/>
        <v>4</v>
      </c>
      <c r="J15" s="50" t="s">
        <v>42</v>
      </c>
      <c r="K15" s="50" t="s">
        <v>44</v>
      </c>
      <c r="L15" s="50" t="s">
        <v>42</v>
      </c>
      <c r="M15" s="50" t="s">
        <v>42</v>
      </c>
      <c r="N15" s="50" t="str">
        <f t="shared" si="3"/>
        <v>WO</v>
      </c>
      <c r="O15" s="50" t="s">
        <v>42</v>
      </c>
      <c r="P15" s="50" t="s">
        <v>42</v>
      </c>
      <c r="Q15" s="50" t="s">
        <v>42</v>
      </c>
      <c r="R15" s="50" t="s">
        <v>42</v>
      </c>
      <c r="S15" s="50" t="s">
        <v>44</v>
      </c>
      <c r="T15" s="50" t="s">
        <v>42</v>
      </c>
      <c r="U15" s="50" t="str">
        <f t="shared" si="3"/>
        <v>WO</v>
      </c>
      <c r="V15" s="50" t="s">
        <v>42</v>
      </c>
      <c r="W15" s="50" t="s">
        <v>42</v>
      </c>
      <c r="X15" s="50" t="s">
        <v>43</v>
      </c>
      <c r="Y15" s="50" t="s">
        <v>42</v>
      </c>
      <c r="Z15" s="50" t="s">
        <v>42</v>
      </c>
      <c r="AA15" s="50" t="s">
        <v>42</v>
      </c>
      <c r="AB15" s="50" t="str">
        <f t="shared" ref="AB15:AI26" si="11">IF(AB$5="Sun","WO","")</f>
        <v>WO</v>
      </c>
      <c r="AC15" s="50" t="s">
        <v>42</v>
      </c>
      <c r="AD15" s="50" t="s">
        <v>42</v>
      </c>
      <c r="AE15" s="50" t="s">
        <v>42</v>
      </c>
      <c r="AF15" s="50" t="s">
        <v>44</v>
      </c>
      <c r="AG15" s="50" t="s">
        <v>42</v>
      </c>
      <c r="AH15" s="50" t="s">
        <v>42</v>
      </c>
      <c r="AI15" s="50" t="str">
        <f t="shared" si="11"/>
        <v>WO</v>
      </c>
      <c r="AJ15" s="50" t="s">
        <v>42</v>
      </c>
      <c r="AK15" s="50" t="s">
        <v>42</v>
      </c>
      <c r="AL15" s="50" t="s">
        <v>42</v>
      </c>
      <c r="AM15" s="50" t="s">
        <v>42</v>
      </c>
      <c r="AN15" s="51" t="s">
        <v>42</v>
      </c>
      <c r="AO15" s="39"/>
      <c r="AP15" s="28">
        <v>9</v>
      </c>
      <c r="AQ15" s="21">
        <v>1009</v>
      </c>
      <c r="AR15" s="33" t="str">
        <f t="shared" si="4"/>
        <v>October</v>
      </c>
      <c r="AS15" s="21" t="s">
        <v>11</v>
      </c>
      <c r="AT15" s="29">
        <f t="shared" si="5"/>
        <v>23</v>
      </c>
      <c r="AU15" s="29">
        <f t="shared" si="6"/>
        <v>1</v>
      </c>
      <c r="AV15" s="29">
        <f t="shared" si="7"/>
        <v>3</v>
      </c>
      <c r="AW15" s="29">
        <f t="shared" si="8"/>
        <v>4</v>
      </c>
      <c r="AX15" s="30">
        <f t="shared" si="10"/>
        <v>31</v>
      </c>
      <c r="AY15" s="29">
        <f>OCTReport[[#This Row],[Days]]-OCTReport[[#This Row],[Adsent]]</f>
        <v>30</v>
      </c>
      <c r="AZ15" s="31">
        <v>25000</v>
      </c>
      <c r="BA15" s="32">
        <f>OCTReport[[#This Row],[Salary]]/OCTReport[[#This Row],[Days]]</f>
        <v>806.45161290322585</v>
      </c>
      <c r="BB15" s="31">
        <f>OCTReport[[#This Row],[Perday salary]]*OCTReport[[#This Row],[Adsent]]</f>
        <v>806.45161290322585</v>
      </c>
      <c r="BC15" s="31">
        <f>OCTReport[[#This Row],[Salary]]-OCTReport[[#This Row],[Detuction ]]</f>
        <v>24193.548387096773</v>
      </c>
      <c r="BD15" s="29"/>
      <c r="BE15" s="39"/>
      <c r="BF15" s="37"/>
      <c r="BG15" s="37"/>
      <c r="BH15" s="37"/>
      <c r="BI15" s="37"/>
      <c r="BJ15" s="37"/>
      <c r="BK15" s="37"/>
    </row>
    <row r="16" spans="4:68" x14ac:dyDescent="0.3">
      <c r="D16" s="37"/>
      <c r="E16" s="41"/>
      <c r="F16" s="20">
        <v>10</v>
      </c>
      <c r="G16" s="21">
        <v>1010</v>
      </c>
      <c r="H16" s="22" t="s">
        <v>12</v>
      </c>
      <c r="I16" s="46">
        <f t="shared" si="9"/>
        <v>4</v>
      </c>
      <c r="J16" s="50" t="s">
        <v>42</v>
      </c>
      <c r="K16" s="50" t="s">
        <v>44</v>
      </c>
      <c r="L16" s="50" t="s">
        <v>42</v>
      </c>
      <c r="M16" s="50" t="s">
        <v>42</v>
      </c>
      <c r="N16" s="50" t="str">
        <f t="shared" ref="N16:U26" si="12">IF(N$5="Sun","WO","")</f>
        <v>WO</v>
      </c>
      <c r="O16" s="50" t="s">
        <v>42</v>
      </c>
      <c r="P16" s="50" t="s">
        <v>42</v>
      </c>
      <c r="Q16" s="50" t="s">
        <v>42</v>
      </c>
      <c r="R16" s="50" t="s">
        <v>42</v>
      </c>
      <c r="S16" s="50" t="s">
        <v>44</v>
      </c>
      <c r="T16" s="50" t="s">
        <v>42</v>
      </c>
      <c r="U16" s="50" t="str">
        <f t="shared" si="12"/>
        <v>WO</v>
      </c>
      <c r="V16" s="50" t="s">
        <v>42</v>
      </c>
      <c r="W16" s="50" t="s">
        <v>42</v>
      </c>
      <c r="X16" s="50" t="s">
        <v>43</v>
      </c>
      <c r="Y16" s="50" t="s">
        <v>42</v>
      </c>
      <c r="Z16" s="50" t="s">
        <v>42</v>
      </c>
      <c r="AA16" s="50" t="s">
        <v>42</v>
      </c>
      <c r="AB16" s="50" t="str">
        <f t="shared" si="11"/>
        <v>WO</v>
      </c>
      <c r="AC16" s="50" t="s">
        <v>42</v>
      </c>
      <c r="AD16" s="50" t="s">
        <v>42</v>
      </c>
      <c r="AE16" s="50" t="s">
        <v>42</v>
      </c>
      <c r="AF16" s="50" t="s">
        <v>44</v>
      </c>
      <c r="AG16" s="50" t="s">
        <v>42</v>
      </c>
      <c r="AH16" s="50" t="s">
        <v>42</v>
      </c>
      <c r="AI16" s="50" t="str">
        <f t="shared" si="11"/>
        <v>WO</v>
      </c>
      <c r="AJ16" s="50" t="s">
        <v>42</v>
      </c>
      <c r="AK16" s="50" t="s">
        <v>42</v>
      </c>
      <c r="AL16" s="50" t="s">
        <v>42</v>
      </c>
      <c r="AM16" s="50" t="s">
        <v>42</v>
      </c>
      <c r="AN16" s="51" t="s">
        <v>42</v>
      </c>
      <c r="AO16" s="39"/>
      <c r="AP16" s="28">
        <v>10</v>
      </c>
      <c r="AQ16" s="21">
        <v>1010</v>
      </c>
      <c r="AR16" s="33" t="str">
        <f t="shared" si="4"/>
        <v>October</v>
      </c>
      <c r="AS16" s="21" t="s">
        <v>12</v>
      </c>
      <c r="AT16" s="29">
        <f t="shared" si="5"/>
        <v>23</v>
      </c>
      <c r="AU16" s="29">
        <f t="shared" si="6"/>
        <v>1</v>
      </c>
      <c r="AV16" s="29">
        <f t="shared" si="7"/>
        <v>3</v>
      </c>
      <c r="AW16" s="29">
        <f t="shared" si="8"/>
        <v>4</v>
      </c>
      <c r="AX16" s="30">
        <f t="shared" si="10"/>
        <v>31</v>
      </c>
      <c r="AY16" s="29">
        <f>OCTReport[[#This Row],[Days]]-OCTReport[[#This Row],[Adsent]]</f>
        <v>30</v>
      </c>
      <c r="AZ16" s="31">
        <v>45000</v>
      </c>
      <c r="BA16" s="32">
        <f>OCTReport[[#This Row],[Salary]]/OCTReport[[#This Row],[Days]]</f>
        <v>1451.6129032258063</v>
      </c>
      <c r="BB16" s="31">
        <f>OCTReport[[#This Row],[Perday salary]]*OCTReport[[#This Row],[Adsent]]</f>
        <v>1451.6129032258063</v>
      </c>
      <c r="BC16" s="31">
        <f>OCTReport[[#This Row],[Salary]]-OCTReport[[#This Row],[Detuction ]]</f>
        <v>43548.387096774197</v>
      </c>
      <c r="BD16" s="29"/>
      <c r="BE16" s="39"/>
      <c r="BF16" s="37"/>
      <c r="BG16" s="37"/>
      <c r="BH16" s="37"/>
      <c r="BI16" s="37"/>
      <c r="BJ16" s="37"/>
      <c r="BK16" s="37"/>
    </row>
    <row r="17" spans="1:63" x14ac:dyDescent="0.3">
      <c r="D17" s="37"/>
      <c r="E17" s="41"/>
      <c r="F17" s="20">
        <v>11</v>
      </c>
      <c r="G17" s="21">
        <v>1011</v>
      </c>
      <c r="H17" s="22" t="s">
        <v>13</v>
      </c>
      <c r="I17" s="46">
        <f t="shared" si="9"/>
        <v>4</v>
      </c>
      <c r="J17" s="50" t="s">
        <v>42</v>
      </c>
      <c r="K17" s="50" t="s">
        <v>44</v>
      </c>
      <c r="L17" s="50" t="s">
        <v>42</v>
      </c>
      <c r="M17" s="50" t="s">
        <v>42</v>
      </c>
      <c r="N17" s="50" t="str">
        <f t="shared" si="12"/>
        <v>WO</v>
      </c>
      <c r="O17" s="50" t="s">
        <v>42</v>
      </c>
      <c r="P17" s="50" t="s">
        <v>42</v>
      </c>
      <c r="Q17" s="50" t="s">
        <v>42</v>
      </c>
      <c r="R17" s="50" t="s">
        <v>42</v>
      </c>
      <c r="S17" s="50" t="s">
        <v>44</v>
      </c>
      <c r="T17" s="50" t="s">
        <v>42</v>
      </c>
      <c r="U17" s="50" t="str">
        <f t="shared" si="12"/>
        <v>WO</v>
      </c>
      <c r="V17" s="50" t="s">
        <v>42</v>
      </c>
      <c r="W17" s="50" t="s">
        <v>42</v>
      </c>
      <c r="X17" s="50" t="s">
        <v>42</v>
      </c>
      <c r="Y17" s="50" t="s">
        <v>42</v>
      </c>
      <c r="Z17" s="50" t="s">
        <v>42</v>
      </c>
      <c r="AA17" s="50" t="s">
        <v>42</v>
      </c>
      <c r="AB17" s="50" t="str">
        <f t="shared" si="11"/>
        <v>WO</v>
      </c>
      <c r="AC17" s="50" t="s">
        <v>42</v>
      </c>
      <c r="AD17" s="50" t="s">
        <v>42</v>
      </c>
      <c r="AE17" s="50" t="s">
        <v>42</v>
      </c>
      <c r="AF17" s="50" t="s">
        <v>44</v>
      </c>
      <c r="AG17" s="50" t="s">
        <v>42</v>
      </c>
      <c r="AH17" s="50" t="s">
        <v>42</v>
      </c>
      <c r="AI17" s="50" t="str">
        <f t="shared" si="11"/>
        <v>WO</v>
      </c>
      <c r="AJ17" s="50" t="s">
        <v>42</v>
      </c>
      <c r="AK17" s="50" t="s">
        <v>42</v>
      </c>
      <c r="AL17" s="50" t="s">
        <v>43</v>
      </c>
      <c r="AM17" s="50" t="s">
        <v>42</v>
      </c>
      <c r="AN17" s="51" t="s">
        <v>42</v>
      </c>
      <c r="AO17" s="39"/>
      <c r="AP17" s="28">
        <v>11</v>
      </c>
      <c r="AQ17" s="21">
        <v>1011</v>
      </c>
      <c r="AR17" s="33" t="str">
        <f t="shared" si="4"/>
        <v>October</v>
      </c>
      <c r="AS17" s="21" t="s">
        <v>13</v>
      </c>
      <c r="AT17" s="29">
        <f t="shared" si="5"/>
        <v>23</v>
      </c>
      <c r="AU17" s="29">
        <f t="shared" si="6"/>
        <v>1</v>
      </c>
      <c r="AV17" s="29">
        <f t="shared" si="7"/>
        <v>3</v>
      </c>
      <c r="AW17" s="29">
        <f t="shared" si="8"/>
        <v>4</v>
      </c>
      <c r="AX17" s="30">
        <f t="shared" si="10"/>
        <v>31</v>
      </c>
      <c r="AY17" s="29">
        <f>OCTReport[[#This Row],[Days]]-OCTReport[[#This Row],[Adsent]]</f>
        <v>30</v>
      </c>
      <c r="AZ17" s="31">
        <v>48000</v>
      </c>
      <c r="BA17" s="32">
        <f>OCTReport[[#This Row],[Salary]]/OCTReport[[#This Row],[Days]]</f>
        <v>1548.3870967741937</v>
      </c>
      <c r="BB17" s="31">
        <f>OCTReport[[#This Row],[Perday salary]]*OCTReport[[#This Row],[Adsent]]</f>
        <v>1548.3870967741937</v>
      </c>
      <c r="BC17" s="31">
        <f>OCTReport[[#This Row],[Salary]]-OCTReport[[#This Row],[Detuction ]]</f>
        <v>46451.612903225803</v>
      </c>
      <c r="BD17" s="29"/>
      <c r="BE17" s="39"/>
      <c r="BF17" s="37"/>
      <c r="BG17" s="37"/>
      <c r="BH17" s="37"/>
      <c r="BI17" s="37"/>
      <c r="BJ17" s="37"/>
      <c r="BK17" s="37"/>
    </row>
    <row r="18" spans="1:63" x14ac:dyDescent="0.3">
      <c r="D18" s="37"/>
      <c r="E18" s="41"/>
      <c r="F18" s="20">
        <v>12</v>
      </c>
      <c r="G18" s="21">
        <v>1012</v>
      </c>
      <c r="H18" s="22" t="s">
        <v>14</v>
      </c>
      <c r="I18" s="46">
        <f t="shared" si="9"/>
        <v>4</v>
      </c>
      <c r="J18" s="50" t="s">
        <v>42</v>
      </c>
      <c r="K18" s="50" t="s">
        <v>44</v>
      </c>
      <c r="L18" s="50" t="s">
        <v>42</v>
      </c>
      <c r="M18" s="50" t="s">
        <v>42</v>
      </c>
      <c r="N18" s="50" t="str">
        <f t="shared" si="12"/>
        <v>WO</v>
      </c>
      <c r="O18" s="50" t="s">
        <v>42</v>
      </c>
      <c r="P18" s="50" t="s">
        <v>42</v>
      </c>
      <c r="Q18" s="50" t="s">
        <v>42</v>
      </c>
      <c r="R18" s="50" t="s">
        <v>42</v>
      </c>
      <c r="S18" s="50" t="s">
        <v>44</v>
      </c>
      <c r="T18" s="50" t="s">
        <v>42</v>
      </c>
      <c r="U18" s="50" t="str">
        <f t="shared" si="12"/>
        <v>WO</v>
      </c>
      <c r="V18" s="50" t="s">
        <v>42</v>
      </c>
      <c r="W18" s="50" t="s">
        <v>42</v>
      </c>
      <c r="X18" s="50" t="s">
        <v>42</v>
      </c>
      <c r="Y18" s="50" t="s">
        <v>42</v>
      </c>
      <c r="Z18" s="50" t="s">
        <v>42</v>
      </c>
      <c r="AA18" s="50" t="s">
        <v>42</v>
      </c>
      <c r="AB18" s="50" t="str">
        <f t="shared" si="11"/>
        <v>WO</v>
      </c>
      <c r="AC18" s="50" t="s">
        <v>42</v>
      </c>
      <c r="AD18" s="50" t="s">
        <v>42</v>
      </c>
      <c r="AE18" s="50" t="s">
        <v>42</v>
      </c>
      <c r="AF18" s="50" t="s">
        <v>44</v>
      </c>
      <c r="AG18" s="50" t="s">
        <v>42</v>
      </c>
      <c r="AH18" s="50" t="s">
        <v>42</v>
      </c>
      <c r="AI18" s="50" t="str">
        <f t="shared" si="11"/>
        <v>WO</v>
      </c>
      <c r="AJ18" s="50" t="s">
        <v>42</v>
      </c>
      <c r="AK18" s="50" t="s">
        <v>42</v>
      </c>
      <c r="AL18" s="50" t="s">
        <v>42</v>
      </c>
      <c r="AM18" s="50" t="s">
        <v>42</v>
      </c>
      <c r="AN18" s="51" t="s">
        <v>42</v>
      </c>
      <c r="AO18" s="39"/>
      <c r="AP18" s="28">
        <v>12</v>
      </c>
      <c r="AQ18" s="21">
        <v>1012</v>
      </c>
      <c r="AR18" s="33" t="str">
        <f t="shared" si="4"/>
        <v>October</v>
      </c>
      <c r="AS18" s="21" t="s">
        <v>14</v>
      </c>
      <c r="AT18" s="29">
        <f t="shared" si="5"/>
        <v>24</v>
      </c>
      <c r="AU18" s="29">
        <f t="shared" si="6"/>
        <v>0</v>
      </c>
      <c r="AV18" s="29">
        <f t="shared" si="7"/>
        <v>3</v>
      </c>
      <c r="AW18" s="29">
        <f t="shared" si="8"/>
        <v>4</v>
      </c>
      <c r="AX18" s="30">
        <f t="shared" si="10"/>
        <v>31</v>
      </c>
      <c r="AY18" s="29">
        <f>OCTReport[[#This Row],[Days]]-OCTReport[[#This Row],[Adsent]]</f>
        <v>31</v>
      </c>
      <c r="AZ18" s="31">
        <v>52000</v>
      </c>
      <c r="BA18" s="32">
        <f>OCTReport[[#This Row],[Salary]]/OCTReport[[#This Row],[Days]]</f>
        <v>1677.4193548387098</v>
      </c>
      <c r="BB18" s="31">
        <f>OCTReport[[#This Row],[Perday salary]]*OCTReport[[#This Row],[Adsent]]</f>
        <v>0</v>
      </c>
      <c r="BC18" s="31">
        <f>OCTReport[[#This Row],[Salary]]-OCTReport[[#This Row],[Detuction ]]</f>
        <v>52000</v>
      </c>
      <c r="BD18" s="29"/>
      <c r="BE18" s="39"/>
      <c r="BF18" s="37"/>
      <c r="BG18" s="37"/>
      <c r="BH18" s="37"/>
      <c r="BI18" s="37"/>
      <c r="BJ18" s="37"/>
      <c r="BK18" s="37"/>
    </row>
    <row r="19" spans="1:63" x14ac:dyDescent="0.3">
      <c r="D19" s="37"/>
      <c r="E19" s="41"/>
      <c r="F19" s="20">
        <v>13</v>
      </c>
      <c r="G19" s="21">
        <v>1013</v>
      </c>
      <c r="H19" s="22" t="s">
        <v>15</v>
      </c>
      <c r="I19" s="46">
        <f t="shared" si="9"/>
        <v>4</v>
      </c>
      <c r="J19" s="50" t="s">
        <v>42</v>
      </c>
      <c r="K19" s="50" t="s">
        <v>44</v>
      </c>
      <c r="L19" s="50" t="s">
        <v>42</v>
      </c>
      <c r="M19" s="50" t="s">
        <v>42</v>
      </c>
      <c r="N19" s="50" t="str">
        <f t="shared" si="12"/>
        <v>WO</v>
      </c>
      <c r="O19" s="50" t="s">
        <v>42</v>
      </c>
      <c r="P19" s="50" t="s">
        <v>42</v>
      </c>
      <c r="Q19" s="50" t="s">
        <v>43</v>
      </c>
      <c r="R19" s="50" t="s">
        <v>42</v>
      </c>
      <c r="S19" s="50" t="s">
        <v>44</v>
      </c>
      <c r="T19" s="50" t="s">
        <v>42</v>
      </c>
      <c r="U19" s="50" t="str">
        <f t="shared" si="12"/>
        <v>WO</v>
      </c>
      <c r="V19" s="50" t="s">
        <v>42</v>
      </c>
      <c r="W19" s="50" t="s">
        <v>42</v>
      </c>
      <c r="X19" s="50" t="s">
        <v>43</v>
      </c>
      <c r="Y19" s="50" t="s">
        <v>42</v>
      </c>
      <c r="Z19" s="50" t="s">
        <v>42</v>
      </c>
      <c r="AA19" s="50" t="s">
        <v>42</v>
      </c>
      <c r="AB19" s="50" t="str">
        <f t="shared" si="11"/>
        <v>WO</v>
      </c>
      <c r="AC19" s="50" t="s">
        <v>42</v>
      </c>
      <c r="AD19" s="50" t="s">
        <v>42</v>
      </c>
      <c r="AE19" s="50" t="s">
        <v>42</v>
      </c>
      <c r="AF19" s="50" t="s">
        <v>44</v>
      </c>
      <c r="AG19" s="50" t="s">
        <v>42</v>
      </c>
      <c r="AH19" s="50" t="s">
        <v>42</v>
      </c>
      <c r="AI19" s="50" t="str">
        <f t="shared" si="11"/>
        <v>WO</v>
      </c>
      <c r="AJ19" s="50" t="s">
        <v>42</v>
      </c>
      <c r="AK19" s="50" t="s">
        <v>43</v>
      </c>
      <c r="AL19" s="50" t="s">
        <v>42</v>
      </c>
      <c r="AM19" s="50" t="s">
        <v>42</v>
      </c>
      <c r="AN19" s="51" t="s">
        <v>42</v>
      </c>
      <c r="AO19" s="39"/>
      <c r="AP19" s="28">
        <v>13</v>
      </c>
      <c r="AQ19" s="21">
        <v>1013</v>
      </c>
      <c r="AR19" s="33" t="str">
        <f t="shared" si="4"/>
        <v>October</v>
      </c>
      <c r="AS19" s="21" t="s">
        <v>15</v>
      </c>
      <c r="AT19" s="29">
        <f t="shared" si="5"/>
        <v>21</v>
      </c>
      <c r="AU19" s="29">
        <f t="shared" si="6"/>
        <v>3</v>
      </c>
      <c r="AV19" s="29">
        <f t="shared" si="7"/>
        <v>3</v>
      </c>
      <c r="AW19" s="29">
        <f t="shared" si="8"/>
        <v>4</v>
      </c>
      <c r="AX19" s="30">
        <f t="shared" si="10"/>
        <v>31</v>
      </c>
      <c r="AY19" s="29">
        <f>OCTReport[[#This Row],[Days]]-OCTReport[[#This Row],[Adsent]]</f>
        <v>28</v>
      </c>
      <c r="AZ19" s="31">
        <v>42000</v>
      </c>
      <c r="BA19" s="32">
        <f>OCTReport[[#This Row],[Salary]]/OCTReport[[#This Row],[Days]]</f>
        <v>1354.8387096774193</v>
      </c>
      <c r="BB19" s="31">
        <f>OCTReport[[#This Row],[Perday salary]]*OCTReport[[#This Row],[Adsent]]</f>
        <v>4064.5161290322576</v>
      </c>
      <c r="BC19" s="31">
        <f>OCTReport[[#This Row],[Salary]]-OCTReport[[#This Row],[Detuction ]]</f>
        <v>37935.483870967742</v>
      </c>
      <c r="BD19" s="29"/>
      <c r="BE19" s="39"/>
      <c r="BF19" s="37"/>
      <c r="BG19" s="37"/>
      <c r="BH19" s="37"/>
      <c r="BI19" s="37"/>
      <c r="BJ19" s="37"/>
      <c r="BK19" s="37"/>
    </row>
    <row r="20" spans="1:63" x14ac:dyDescent="0.3">
      <c r="D20" s="37"/>
      <c r="E20" s="41"/>
      <c r="F20" s="20">
        <v>14</v>
      </c>
      <c r="G20" s="21">
        <v>1014</v>
      </c>
      <c r="H20" s="22" t="s">
        <v>16</v>
      </c>
      <c r="I20" s="46">
        <f t="shared" si="9"/>
        <v>4</v>
      </c>
      <c r="J20" s="50" t="s">
        <v>42</v>
      </c>
      <c r="K20" s="50" t="s">
        <v>44</v>
      </c>
      <c r="L20" s="50" t="s">
        <v>42</v>
      </c>
      <c r="M20" s="50" t="s">
        <v>42</v>
      </c>
      <c r="N20" s="50" t="str">
        <f t="shared" si="12"/>
        <v>WO</v>
      </c>
      <c r="O20" s="50" t="s">
        <v>42</v>
      </c>
      <c r="P20" s="50" t="s">
        <v>42</v>
      </c>
      <c r="Q20" s="50" t="s">
        <v>42</v>
      </c>
      <c r="R20" s="50" t="s">
        <v>42</v>
      </c>
      <c r="S20" s="50" t="s">
        <v>44</v>
      </c>
      <c r="T20" s="50" t="s">
        <v>42</v>
      </c>
      <c r="U20" s="50" t="str">
        <f t="shared" si="12"/>
        <v>WO</v>
      </c>
      <c r="V20" s="50" t="s">
        <v>42</v>
      </c>
      <c r="W20" s="50" t="s">
        <v>42</v>
      </c>
      <c r="X20" s="50" t="s">
        <v>43</v>
      </c>
      <c r="Y20" s="50" t="s">
        <v>42</v>
      </c>
      <c r="Z20" s="50" t="s">
        <v>42</v>
      </c>
      <c r="AA20" s="50" t="s">
        <v>42</v>
      </c>
      <c r="AB20" s="50" t="str">
        <f t="shared" si="11"/>
        <v>WO</v>
      </c>
      <c r="AC20" s="50" t="s">
        <v>42</v>
      </c>
      <c r="AD20" s="50" t="s">
        <v>42</v>
      </c>
      <c r="AE20" s="50" t="s">
        <v>42</v>
      </c>
      <c r="AF20" s="50" t="s">
        <v>44</v>
      </c>
      <c r="AG20" s="50" t="s">
        <v>42</v>
      </c>
      <c r="AH20" s="50" t="s">
        <v>42</v>
      </c>
      <c r="AI20" s="50" t="str">
        <f t="shared" si="11"/>
        <v>WO</v>
      </c>
      <c r="AJ20" s="50" t="s">
        <v>42</v>
      </c>
      <c r="AK20" s="50" t="s">
        <v>42</v>
      </c>
      <c r="AL20" s="50" t="s">
        <v>42</v>
      </c>
      <c r="AM20" s="50" t="s">
        <v>43</v>
      </c>
      <c r="AN20" s="51" t="s">
        <v>42</v>
      </c>
      <c r="AO20" s="39"/>
      <c r="AP20" s="28">
        <v>14</v>
      </c>
      <c r="AQ20" s="21">
        <v>1014</v>
      </c>
      <c r="AR20" s="33" t="str">
        <f t="shared" si="4"/>
        <v>October</v>
      </c>
      <c r="AS20" s="21" t="s">
        <v>16</v>
      </c>
      <c r="AT20" s="29">
        <f t="shared" si="5"/>
        <v>22</v>
      </c>
      <c r="AU20" s="29">
        <f t="shared" si="6"/>
        <v>2</v>
      </c>
      <c r="AV20" s="29">
        <f t="shared" si="7"/>
        <v>3</v>
      </c>
      <c r="AW20" s="29">
        <f t="shared" si="8"/>
        <v>4</v>
      </c>
      <c r="AX20" s="30">
        <f t="shared" si="10"/>
        <v>31</v>
      </c>
      <c r="AY20" s="29">
        <f>OCTReport[[#This Row],[Days]]-OCTReport[[#This Row],[Adsent]]</f>
        <v>29</v>
      </c>
      <c r="AZ20" s="31">
        <v>15000</v>
      </c>
      <c r="BA20" s="32">
        <f>OCTReport[[#This Row],[Salary]]/OCTReport[[#This Row],[Days]]</f>
        <v>483.87096774193549</v>
      </c>
      <c r="BB20" s="31">
        <f>OCTReport[[#This Row],[Perday salary]]*OCTReport[[#This Row],[Adsent]]</f>
        <v>967.74193548387098</v>
      </c>
      <c r="BC20" s="31">
        <f>OCTReport[[#This Row],[Salary]]-OCTReport[[#This Row],[Detuction ]]</f>
        <v>14032.258064516129</v>
      </c>
      <c r="BD20" s="29"/>
      <c r="BE20" s="39"/>
      <c r="BF20" s="37"/>
      <c r="BG20" s="37"/>
      <c r="BH20" s="37"/>
      <c r="BI20" s="37"/>
      <c r="BJ20" s="37"/>
      <c r="BK20" s="37"/>
    </row>
    <row r="21" spans="1:63" x14ac:dyDescent="0.3">
      <c r="D21" s="37"/>
      <c r="E21" s="41"/>
      <c r="F21" s="20">
        <v>15</v>
      </c>
      <c r="G21" s="21">
        <v>1015</v>
      </c>
      <c r="H21" s="22" t="s">
        <v>17</v>
      </c>
      <c r="I21" s="46">
        <f t="shared" si="9"/>
        <v>4</v>
      </c>
      <c r="J21" s="50" t="s">
        <v>42</v>
      </c>
      <c r="K21" s="50" t="s">
        <v>44</v>
      </c>
      <c r="L21" s="50" t="s">
        <v>42</v>
      </c>
      <c r="M21" s="50" t="s">
        <v>42</v>
      </c>
      <c r="N21" s="50" t="str">
        <f t="shared" si="12"/>
        <v>WO</v>
      </c>
      <c r="O21" s="50" t="s">
        <v>42</v>
      </c>
      <c r="P21" s="50" t="s">
        <v>42</v>
      </c>
      <c r="Q21" s="50" t="s">
        <v>42</v>
      </c>
      <c r="R21" s="50" t="s">
        <v>42</v>
      </c>
      <c r="S21" s="50" t="s">
        <v>44</v>
      </c>
      <c r="T21" s="50" t="s">
        <v>42</v>
      </c>
      <c r="U21" s="50" t="str">
        <f t="shared" si="12"/>
        <v>WO</v>
      </c>
      <c r="V21" s="50" t="s">
        <v>42</v>
      </c>
      <c r="W21" s="50" t="s">
        <v>42</v>
      </c>
      <c r="X21" s="50" t="s">
        <v>42</v>
      </c>
      <c r="Y21" s="50" t="s">
        <v>42</v>
      </c>
      <c r="Z21" s="50" t="s">
        <v>42</v>
      </c>
      <c r="AA21" s="50" t="s">
        <v>42</v>
      </c>
      <c r="AB21" s="50" t="str">
        <f t="shared" si="11"/>
        <v>WO</v>
      </c>
      <c r="AC21" s="50" t="s">
        <v>42</v>
      </c>
      <c r="AD21" s="50" t="s">
        <v>42</v>
      </c>
      <c r="AE21" s="50" t="s">
        <v>42</v>
      </c>
      <c r="AF21" s="50" t="s">
        <v>44</v>
      </c>
      <c r="AG21" s="50" t="s">
        <v>42</v>
      </c>
      <c r="AH21" s="50" t="s">
        <v>42</v>
      </c>
      <c r="AI21" s="50" t="str">
        <f t="shared" si="11"/>
        <v>WO</v>
      </c>
      <c r="AJ21" s="50" t="s">
        <v>42</v>
      </c>
      <c r="AK21" s="50" t="s">
        <v>42</v>
      </c>
      <c r="AL21" s="50" t="s">
        <v>42</v>
      </c>
      <c r="AM21" s="50" t="s">
        <v>42</v>
      </c>
      <c r="AN21" s="51" t="s">
        <v>42</v>
      </c>
      <c r="AO21" s="39"/>
      <c r="AP21" s="28">
        <v>15</v>
      </c>
      <c r="AQ21" s="21">
        <v>1015</v>
      </c>
      <c r="AR21" s="33" t="str">
        <f t="shared" si="4"/>
        <v>October</v>
      </c>
      <c r="AS21" s="21" t="s">
        <v>17</v>
      </c>
      <c r="AT21" s="29">
        <f t="shared" si="5"/>
        <v>24</v>
      </c>
      <c r="AU21" s="29">
        <f t="shared" si="6"/>
        <v>0</v>
      </c>
      <c r="AV21" s="29">
        <f t="shared" si="7"/>
        <v>3</v>
      </c>
      <c r="AW21" s="29">
        <f t="shared" si="8"/>
        <v>4</v>
      </c>
      <c r="AX21" s="30">
        <f t="shared" si="10"/>
        <v>31</v>
      </c>
      <c r="AY21" s="29">
        <f>OCTReport[[#This Row],[Days]]-OCTReport[[#This Row],[Adsent]]</f>
        <v>31</v>
      </c>
      <c r="AZ21" s="31">
        <v>46000</v>
      </c>
      <c r="BA21" s="32">
        <f>OCTReport[[#This Row],[Salary]]/OCTReport[[#This Row],[Days]]</f>
        <v>1483.8709677419354</v>
      </c>
      <c r="BB21" s="31">
        <f>OCTReport[[#This Row],[Perday salary]]*OCTReport[[#This Row],[Adsent]]</f>
        <v>0</v>
      </c>
      <c r="BC21" s="31">
        <f>OCTReport[[#This Row],[Salary]]-OCTReport[[#This Row],[Detuction ]]</f>
        <v>46000</v>
      </c>
      <c r="BD21" s="29"/>
      <c r="BE21" s="39"/>
      <c r="BF21" s="37"/>
      <c r="BG21" s="37"/>
      <c r="BH21" s="37"/>
      <c r="BI21" s="37"/>
      <c r="BJ21" s="37"/>
      <c r="BK21" s="37"/>
    </row>
    <row r="22" spans="1:63" x14ac:dyDescent="0.3">
      <c r="D22" s="37"/>
      <c r="E22" s="41"/>
      <c r="F22" s="20">
        <v>16</v>
      </c>
      <c r="G22" s="21">
        <v>1016</v>
      </c>
      <c r="H22" s="22" t="s">
        <v>18</v>
      </c>
      <c r="I22" s="46">
        <f t="shared" si="9"/>
        <v>4</v>
      </c>
      <c r="J22" s="50" t="s">
        <v>42</v>
      </c>
      <c r="K22" s="50" t="s">
        <v>44</v>
      </c>
      <c r="L22" s="50" t="s">
        <v>42</v>
      </c>
      <c r="M22" s="50" t="s">
        <v>42</v>
      </c>
      <c r="N22" s="50" t="str">
        <f t="shared" si="12"/>
        <v>WO</v>
      </c>
      <c r="O22" s="50" t="s">
        <v>42</v>
      </c>
      <c r="P22" s="50" t="s">
        <v>42</v>
      </c>
      <c r="Q22" s="50" t="s">
        <v>42</v>
      </c>
      <c r="R22" s="50" t="s">
        <v>42</v>
      </c>
      <c r="S22" s="50" t="s">
        <v>44</v>
      </c>
      <c r="T22" s="50" t="s">
        <v>42</v>
      </c>
      <c r="U22" s="50" t="str">
        <f t="shared" si="12"/>
        <v>WO</v>
      </c>
      <c r="V22" s="50" t="s">
        <v>42</v>
      </c>
      <c r="W22" s="50" t="s">
        <v>42</v>
      </c>
      <c r="X22" s="50" t="s">
        <v>42</v>
      </c>
      <c r="Y22" s="50" t="s">
        <v>42</v>
      </c>
      <c r="Z22" s="50" t="s">
        <v>42</v>
      </c>
      <c r="AA22" s="50" t="s">
        <v>42</v>
      </c>
      <c r="AB22" s="50" t="str">
        <f t="shared" si="11"/>
        <v>WO</v>
      </c>
      <c r="AC22" s="50" t="s">
        <v>42</v>
      </c>
      <c r="AD22" s="50" t="s">
        <v>42</v>
      </c>
      <c r="AE22" s="50" t="s">
        <v>42</v>
      </c>
      <c r="AF22" s="50" t="s">
        <v>44</v>
      </c>
      <c r="AG22" s="50" t="s">
        <v>42</v>
      </c>
      <c r="AH22" s="50" t="s">
        <v>42</v>
      </c>
      <c r="AI22" s="50" t="str">
        <f t="shared" si="11"/>
        <v>WO</v>
      </c>
      <c r="AJ22" s="50" t="s">
        <v>42</v>
      </c>
      <c r="AK22" s="50" t="s">
        <v>42</v>
      </c>
      <c r="AL22" s="50" t="s">
        <v>42</v>
      </c>
      <c r="AM22" s="50" t="s">
        <v>42</v>
      </c>
      <c r="AN22" s="51" t="s">
        <v>42</v>
      </c>
      <c r="AO22" s="39"/>
      <c r="AP22" s="28">
        <v>16</v>
      </c>
      <c r="AQ22" s="21">
        <v>1016</v>
      </c>
      <c r="AR22" s="33" t="str">
        <f t="shared" si="4"/>
        <v>October</v>
      </c>
      <c r="AS22" s="21" t="s">
        <v>18</v>
      </c>
      <c r="AT22" s="29">
        <f t="shared" si="5"/>
        <v>24</v>
      </c>
      <c r="AU22" s="29">
        <f t="shared" si="6"/>
        <v>0</v>
      </c>
      <c r="AV22" s="29">
        <f t="shared" si="7"/>
        <v>3</v>
      </c>
      <c r="AW22" s="29">
        <f t="shared" si="8"/>
        <v>4</v>
      </c>
      <c r="AX22" s="30">
        <f t="shared" si="10"/>
        <v>31</v>
      </c>
      <c r="AY22" s="29">
        <f>OCTReport[[#This Row],[Days]]-OCTReport[[#This Row],[Adsent]]</f>
        <v>31</v>
      </c>
      <c r="AZ22" s="31">
        <v>52000</v>
      </c>
      <c r="BA22" s="32">
        <f>OCTReport[[#This Row],[Salary]]/OCTReport[[#This Row],[Days]]</f>
        <v>1677.4193548387098</v>
      </c>
      <c r="BB22" s="31">
        <f>OCTReport[[#This Row],[Perday salary]]*OCTReport[[#This Row],[Adsent]]</f>
        <v>0</v>
      </c>
      <c r="BC22" s="31">
        <f>OCTReport[[#This Row],[Salary]]-OCTReport[[#This Row],[Detuction ]]</f>
        <v>52000</v>
      </c>
      <c r="BD22" s="29"/>
      <c r="BE22" s="39"/>
      <c r="BF22" s="37"/>
      <c r="BG22" s="37"/>
      <c r="BH22" s="37"/>
      <c r="BI22" s="37"/>
      <c r="BJ22" s="37"/>
      <c r="BK22" s="37"/>
    </row>
    <row r="23" spans="1:63" x14ac:dyDescent="0.3">
      <c r="D23" s="37"/>
      <c r="E23" s="41"/>
      <c r="F23" s="20">
        <v>17</v>
      </c>
      <c r="G23" s="21">
        <v>1017</v>
      </c>
      <c r="H23" s="22" t="s">
        <v>19</v>
      </c>
      <c r="I23" s="46">
        <f t="shared" si="9"/>
        <v>4</v>
      </c>
      <c r="J23" s="50" t="s">
        <v>42</v>
      </c>
      <c r="K23" s="50" t="s">
        <v>44</v>
      </c>
      <c r="L23" s="50" t="s">
        <v>42</v>
      </c>
      <c r="M23" s="50" t="s">
        <v>42</v>
      </c>
      <c r="N23" s="50" t="str">
        <f t="shared" si="12"/>
        <v>WO</v>
      </c>
      <c r="O23" s="50" t="s">
        <v>42</v>
      </c>
      <c r="P23" s="50" t="s">
        <v>42</v>
      </c>
      <c r="Q23" s="50" t="s">
        <v>42</v>
      </c>
      <c r="R23" s="50" t="s">
        <v>42</v>
      </c>
      <c r="S23" s="50" t="s">
        <v>44</v>
      </c>
      <c r="T23" s="50" t="s">
        <v>42</v>
      </c>
      <c r="U23" s="50" t="str">
        <f t="shared" si="12"/>
        <v>WO</v>
      </c>
      <c r="V23" s="50" t="s">
        <v>42</v>
      </c>
      <c r="W23" s="50" t="s">
        <v>42</v>
      </c>
      <c r="X23" s="50" t="s">
        <v>42</v>
      </c>
      <c r="Y23" s="50" t="s">
        <v>42</v>
      </c>
      <c r="Z23" s="50" t="s">
        <v>42</v>
      </c>
      <c r="AA23" s="50" t="s">
        <v>42</v>
      </c>
      <c r="AB23" s="50" t="str">
        <f t="shared" si="11"/>
        <v>WO</v>
      </c>
      <c r="AC23" s="50" t="s">
        <v>42</v>
      </c>
      <c r="AD23" s="50" t="s">
        <v>42</v>
      </c>
      <c r="AE23" s="50" t="s">
        <v>42</v>
      </c>
      <c r="AF23" s="50" t="s">
        <v>44</v>
      </c>
      <c r="AG23" s="50" t="s">
        <v>42</v>
      </c>
      <c r="AH23" s="50" t="s">
        <v>42</v>
      </c>
      <c r="AI23" s="50" t="str">
        <f t="shared" si="11"/>
        <v>WO</v>
      </c>
      <c r="AJ23" s="50" t="s">
        <v>42</v>
      </c>
      <c r="AK23" s="50" t="s">
        <v>42</v>
      </c>
      <c r="AL23" s="50" t="s">
        <v>42</v>
      </c>
      <c r="AM23" s="50" t="s">
        <v>42</v>
      </c>
      <c r="AN23" s="51" t="s">
        <v>42</v>
      </c>
      <c r="AO23" s="39"/>
      <c r="AP23" s="28">
        <v>17</v>
      </c>
      <c r="AQ23" s="21">
        <v>1017</v>
      </c>
      <c r="AR23" s="33" t="str">
        <f t="shared" si="4"/>
        <v>October</v>
      </c>
      <c r="AS23" s="21" t="s">
        <v>19</v>
      </c>
      <c r="AT23" s="29">
        <f t="shared" si="5"/>
        <v>24</v>
      </c>
      <c r="AU23" s="29">
        <f t="shared" si="6"/>
        <v>0</v>
      </c>
      <c r="AV23" s="29">
        <f t="shared" si="7"/>
        <v>3</v>
      </c>
      <c r="AW23" s="29">
        <f t="shared" si="8"/>
        <v>4</v>
      </c>
      <c r="AX23" s="30">
        <f t="shared" si="10"/>
        <v>31</v>
      </c>
      <c r="AY23" s="29">
        <f>OCTReport[[#This Row],[Days]]-OCTReport[[#This Row],[Adsent]]</f>
        <v>31</v>
      </c>
      <c r="AZ23" s="31">
        <v>42000</v>
      </c>
      <c r="BA23" s="32">
        <f>OCTReport[[#This Row],[Salary]]/OCTReport[[#This Row],[Days]]</f>
        <v>1354.8387096774193</v>
      </c>
      <c r="BB23" s="31">
        <f>OCTReport[[#This Row],[Perday salary]]*OCTReport[[#This Row],[Adsent]]</f>
        <v>0</v>
      </c>
      <c r="BC23" s="31">
        <f>OCTReport[[#This Row],[Salary]]-OCTReport[[#This Row],[Detuction ]]</f>
        <v>42000</v>
      </c>
      <c r="BD23" s="29"/>
      <c r="BE23" s="39"/>
      <c r="BF23" s="37"/>
      <c r="BG23" s="37"/>
      <c r="BH23" s="37"/>
      <c r="BI23" s="37"/>
      <c r="BJ23" s="37"/>
      <c r="BK23" s="37"/>
    </row>
    <row r="24" spans="1:63" x14ac:dyDescent="0.3">
      <c r="D24" s="37"/>
      <c r="E24" s="41"/>
      <c r="F24" s="20">
        <v>18</v>
      </c>
      <c r="G24" s="21">
        <v>1018</v>
      </c>
      <c r="H24" s="22" t="s">
        <v>20</v>
      </c>
      <c r="I24" s="46">
        <f t="shared" si="9"/>
        <v>4</v>
      </c>
      <c r="J24" s="50" t="s">
        <v>42</v>
      </c>
      <c r="K24" s="50" t="s">
        <v>44</v>
      </c>
      <c r="L24" s="50" t="s">
        <v>42</v>
      </c>
      <c r="M24" s="50" t="s">
        <v>42</v>
      </c>
      <c r="N24" s="50" t="str">
        <f t="shared" si="12"/>
        <v>WO</v>
      </c>
      <c r="O24" s="50" t="s">
        <v>42</v>
      </c>
      <c r="P24" s="50" t="s">
        <v>42</v>
      </c>
      <c r="Q24" s="50" t="s">
        <v>42</v>
      </c>
      <c r="R24" s="50" t="s">
        <v>42</v>
      </c>
      <c r="S24" s="50" t="s">
        <v>44</v>
      </c>
      <c r="T24" s="50" t="s">
        <v>42</v>
      </c>
      <c r="U24" s="50" t="str">
        <f t="shared" si="12"/>
        <v>WO</v>
      </c>
      <c r="V24" s="50" t="s">
        <v>42</v>
      </c>
      <c r="W24" s="50" t="s">
        <v>42</v>
      </c>
      <c r="X24" s="50" t="s">
        <v>42</v>
      </c>
      <c r="Y24" s="50" t="s">
        <v>42</v>
      </c>
      <c r="Z24" s="50" t="s">
        <v>42</v>
      </c>
      <c r="AA24" s="50" t="s">
        <v>42</v>
      </c>
      <c r="AB24" s="50" t="str">
        <f t="shared" si="11"/>
        <v>WO</v>
      </c>
      <c r="AC24" s="50" t="s">
        <v>42</v>
      </c>
      <c r="AD24" s="50" t="s">
        <v>42</v>
      </c>
      <c r="AE24" s="50" t="s">
        <v>42</v>
      </c>
      <c r="AF24" s="50" t="s">
        <v>44</v>
      </c>
      <c r="AG24" s="50" t="s">
        <v>42</v>
      </c>
      <c r="AH24" s="50" t="s">
        <v>42</v>
      </c>
      <c r="AI24" s="50" t="str">
        <f t="shared" si="11"/>
        <v>WO</v>
      </c>
      <c r="AJ24" s="50" t="s">
        <v>42</v>
      </c>
      <c r="AK24" s="50" t="s">
        <v>42</v>
      </c>
      <c r="AL24" s="50" t="s">
        <v>42</v>
      </c>
      <c r="AM24" s="50" t="s">
        <v>42</v>
      </c>
      <c r="AN24" s="51" t="s">
        <v>42</v>
      </c>
      <c r="AO24" s="39"/>
      <c r="AP24" s="28">
        <v>18</v>
      </c>
      <c r="AQ24" s="21">
        <v>1018</v>
      </c>
      <c r="AR24" s="33" t="str">
        <f t="shared" si="4"/>
        <v>October</v>
      </c>
      <c r="AS24" s="21" t="s">
        <v>20</v>
      </c>
      <c r="AT24" s="29">
        <f t="shared" si="5"/>
        <v>24</v>
      </c>
      <c r="AU24" s="29">
        <f t="shared" si="6"/>
        <v>0</v>
      </c>
      <c r="AV24" s="29">
        <f t="shared" si="7"/>
        <v>3</v>
      </c>
      <c r="AW24" s="29">
        <f t="shared" si="8"/>
        <v>4</v>
      </c>
      <c r="AX24" s="30">
        <f t="shared" si="10"/>
        <v>31</v>
      </c>
      <c r="AY24" s="29">
        <f>OCTReport[[#This Row],[Days]]-OCTReport[[#This Row],[Adsent]]</f>
        <v>31</v>
      </c>
      <c r="AZ24" s="31">
        <v>62000</v>
      </c>
      <c r="BA24" s="32">
        <f>OCTReport[[#This Row],[Salary]]/OCTReport[[#This Row],[Days]]</f>
        <v>2000</v>
      </c>
      <c r="BB24" s="31">
        <f>OCTReport[[#This Row],[Perday salary]]*OCTReport[[#This Row],[Adsent]]</f>
        <v>0</v>
      </c>
      <c r="BC24" s="31">
        <f>OCTReport[[#This Row],[Salary]]-OCTReport[[#This Row],[Detuction ]]</f>
        <v>62000</v>
      </c>
      <c r="BD24" s="29"/>
      <c r="BE24" s="39"/>
      <c r="BF24" s="37"/>
      <c r="BG24" s="37"/>
      <c r="BH24" s="37"/>
      <c r="BI24" s="37"/>
      <c r="BJ24" s="37"/>
      <c r="BK24" s="37"/>
    </row>
    <row r="25" spans="1:63" x14ac:dyDescent="0.3">
      <c r="D25" s="37"/>
      <c r="E25" s="41"/>
      <c r="F25" s="20">
        <v>19</v>
      </c>
      <c r="G25" s="21">
        <v>1019</v>
      </c>
      <c r="H25" s="22" t="s">
        <v>21</v>
      </c>
      <c r="I25" s="46">
        <f t="shared" si="9"/>
        <v>4</v>
      </c>
      <c r="J25" s="50" t="s">
        <v>42</v>
      </c>
      <c r="K25" s="50" t="s">
        <v>44</v>
      </c>
      <c r="L25" s="50" t="s">
        <v>42</v>
      </c>
      <c r="M25" s="50" t="s">
        <v>42</v>
      </c>
      <c r="N25" s="50" t="str">
        <f t="shared" si="12"/>
        <v>WO</v>
      </c>
      <c r="O25" s="50" t="s">
        <v>42</v>
      </c>
      <c r="P25" s="50" t="s">
        <v>42</v>
      </c>
      <c r="Q25" s="50" t="s">
        <v>42</v>
      </c>
      <c r="R25" s="50" t="s">
        <v>42</v>
      </c>
      <c r="S25" s="50" t="s">
        <v>44</v>
      </c>
      <c r="T25" s="50" t="s">
        <v>42</v>
      </c>
      <c r="U25" s="50" t="str">
        <f t="shared" si="12"/>
        <v>WO</v>
      </c>
      <c r="V25" s="50" t="s">
        <v>42</v>
      </c>
      <c r="W25" s="50" t="s">
        <v>42</v>
      </c>
      <c r="X25" s="50" t="s">
        <v>42</v>
      </c>
      <c r="Y25" s="50" t="s">
        <v>42</v>
      </c>
      <c r="Z25" s="50" t="s">
        <v>42</v>
      </c>
      <c r="AA25" s="50" t="s">
        <v>42</v>
      </c>
      <c r="AB25" s="50" t="str">
        <f t="shared" si="11"/>
        <v>WO</v>
      </c>
      <c r="AC25" s="50" t="s">
        <v>42</v>
      </c>
      <c r="AD25" s="50" t="s">
        <v>42</v>
      </c>
      <c r="AE25" s="50" t="s">
        <v>42</v>
      </c>
      <c r="AF25" s="50" t="s">
        <v>44</v>
      </c>
      <c r="AG25" s="50" t="s">
        <v>42</v>
      </c>
      <c r="AH25" s="50" t="s">
        <v>42</v>
      </c>
      <c r="AI25" s="50" t="str">
        <f t="shared" si="11"/>
        <v>WO</v>
      </c>
      <c r="AJ25" s="50" t="s">
        <v>42</v>
      </c>
      <c r="AK25" s="50" t="s">
        <v>42</v>
      </c>
      <c r="AL25" s="50" t="s">
        <v>42</v>
      </c>
      <c r="AM25" s="50" t="s">
        <v>42</v>
      </c>
      <c r="AN25" s="51" t="s">
        <v>42</v>
      </c>
      <c r="AO25" s="39"/>
      <c r="AP25" s="28">
        <v>19</v>
      </c>
      <c r="AQ25" s="21">
        <v>1019</v>
      </c>
      <c r="AR25" s="33" t="str">
        <f t="shared" si="4"/>
        <v>October</v>
      </c>
      <c r="AS25" s="21" t="s">
        <v>21</v>
      </c>
      <c r="AT25" s="29">
        <f t="shared" si="5"/>
        <v>24</v>
      </c>
      <c r="AU25" s="29">
        <f t="shared" si="6"/>
        <v>0</v>
      </c>
      <c r="AV25" s="29">
        <f t="shared" si="7"/>
        <v>3</v>
      </c>
      <c r="AW25" s="29">
        <f t="shared" si="8"/>
        <v>4</v>
      </c>
      <c r="AX25" s="30">
        <f t="shared" si="10"/>
        <v>31</v>
      </c>
      <c r="AY25" s="29">
        <f>OCTReport[[#This Row],[Days]]-OCTReport[[#This Row],[Adsent]]</f>
        <v>31</v>
      </c>
      <c r="AZ25" s="31">
        <v>41000</v>
      </c>
      <c r="BA25" s="32">
        <f>OCTReport[[#This Row],[Salary]]/OCTReport[[#This Row],[Days]]</f>
        <v>1322.5806451612902</v>
      </c>
      <c r="BB25" s="31">
        <f>OCTReport[[#This Row],[Perday salary]]*OCTReport[[#This Row],[Adsent]]</f>
        <v>0</v>
      </c>
      <c r="BC25" s="31">
        <f>OCTReport[[#This Row],[Salary]]-OCTReport[[#This Row],[Detuction ]]</f>
        <v>41000</v>
      </c>
      <c r="BD25" s="29"/>
      <c r="BE25" s="39"/>
      <c r="BF25" s="37"/>
      <c r="BG25" s="37"/>
      <c r="BH25" s="37"/>
      <c r="BI25" s="37"/>
      <c r="BJ25" s="37"/>
      <c r="BK25" s="37"/>
    </row>
    <row r="26" spans="1:63" ht="15" thickBot="1" x14ac:dyDescent="0.35">
      <c r="D26" s="37"/>
      <c r="E26" s="41"/>
      <c r="F26" s="24">
        <v>20</v>
      </c>
      <c r="G26" s="25">
        <v>1020</v>
      </c>
      <c r="H26" s="26" t="s">
        <v>22</v>
      </c>
      <c r="I26" s="47">
        <f t="shared" si="9"/>
        <v>4</v>
      </c>
      <c r="J26" s="52" t="s">
        <v>42</v>
      </c>
      <c r="K26" s="52" t="s">
        <v>44</v>
      </c>
      <c r="L26" s="52" t="s">
        <v>42</v>
      </c>
      <c r="M26" s="52" t="s">
        <v>42</v>
      </c>
      <c r="N26" s="52" t="str">
        <f t="shared" si="12"/>
        <v>WO</v>
      </c>
      <c r="O26" s="52" t="s">
        <v>42</v>
      </c>
      <c r="P26" s="52" t="s">
        <v>42</v>
      </c>
      <c r="Q26" s="52" t="s">
        <v>42</v>
      </c>
      <c r="R26" s="52" t="s">
        <v>42</v>
      </c>
      <c r="S26" s="52" t="s">
        <v>44</v>
      </c>
      <c r="T26" s="52" t="s">
        <v>42</v>
      </c>
      <c r="U26" s="52" t="str">
        <f t="shared" si="12"/>
        <v>WO</v>
      </c>
      <c r="V26" s="52" t="s">
        <v>42</v>
      </c>
      <c r="W26" s="52" t="s">
        <v>42</v>
      </c>
      <c r="X26" s="52" t="s">
        <v>42</v>
      </c>
      <c r="Y26" s="52" t="s">
        <v>42</v>
      </c>
      <c r="Z26" s="52" t="s">
        <v>42</v>
      </c>
      <c r="AA26" s="52" t="s">
        <v>42</v>
      </c>
      <c r="AB26" s="52" t="str">
        <f t="shared" si="11"/>
        <v>WO</v>
      </c>
      <c r="AC26" s="52" t="s">
        <v>42</v>
      </c>
      <c r="AD26" s="52" t="s">
        <v>42</v>
      </c>
      <c r="AE26" s="52" t="s">
        <v>42</v>
      </c>
      <c r="AF26" s="52" t="s">
        <v>44</v>
      </c>
      <c r="AG26" s="52" t="s">
        <v>42</v>
      </c>
      <c r="AH26" s="52" t="s">
        <v>42</v>
      </c>
      <c r="AI26" s="52" t="str">
        <f t="shared" si="11"/>
        <v>WO</v>
      </c>
      <c r="AJ26" s="52" t="s">
        <v>42</v>
      </c>
      <c r="AK26" s="52" t="s">
        <v>42</v>
      </c>
      <c r="AL26" s="52" t="s">
        <v>42</v>
      </c>
      <c r="AM26" s="52" t="s">
        <v>42</v>
      </c>
      <c r="AN26" s="53" t="s">
        <v>42</v>
      </c>
      <c r="AO26" s="39"/>
      <c r="AP26" s="28">
        <v>20</v>
      </c>
      <c r="AQ26" s="21">
        <v>1020</v>
      </c>
      <c r="AR26" s="33" t="str">
        <f t="shared" si="4"/>
        <v>October</v>
      </c>
      <c r="AS26" s="21" t="s">
        <v>22</v>
      </c>
      <c r="AT26" s="29">
        <f t="shared" si="5"/>
        <v>24</v>
      </c>
      <c r="AU26" s="29">
        <f t="shared" si="6"/>
        <v>0</v>
      </c>
      <c r="AV26" s="29">
        <f t="shared" si="7"/>
        <v>3</v>
      </c>
      <c r="AW26" s="29">
        <f t="shared" si="8"/>
        <v>4</v>
      </c>
      <c r="AX26" s="30">
        <f t="shared" si="10"/>
        <v>31</v>
      </c>
      <c r="AY26" s="29">
        <f>OCTReport[[#This Row],[Days]]-OCTReport[[#This Row],[Adsent]]</f>
        <v>31</v>
      </c>
      <c r="AZ26" s="31">
        <v>30000</v>
      </c>
      <c r="BA26" s="32">
        <f>OCTReport[[#This Row],[Salary]]/OCTReport[[#This Row],[Days]]</f>
        <v>967.74193548387098</v>
      </c>
      <c r="BB26" s="31">
        <f>OCTReport[[#This Row],[Perday salary]]*OCTReport[[#This Row],[Adsent]]</f>
        <v>0</v>
      </c>
      <c r="BC26" s="31">
        <f>OCTReport[[#This Row],[Salary]]-OCTReport[[#This Row],[Detuction ]]</f>
        <v>30000</v>
      </c>
      <c r="BD26" s="29"/>
      <c r="BE26" s="39"/>
      <c r="BF26" s="37"/>
      <c r="BG26" s="37"/>
      <c r="BH26" s="37"/>
      <c r="BI26" s="37"/>
      <c r="BJ26" s="37"/>
      <c r="BK26" s="37"/>
    </row>
    <row r="27" spans="1:63" x14ac:dyDescent="0.3">
      <c r="D27" s="37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  <c r="AA27" s="41"/>
      <c r="AB27" s="41"/>
      <c r="AC27" s="41"/>
      <c r="AD27" s="41"/>
      <c r="AE27" s="41"/>
      <c r="AF27" s="41"/>
      <c r="AG27" s="41"/>
      <c r="AH27" s="41"/>
      <c r="AI27" s="41"/>
      <c r="AJ27" s="41"/>
      <c r="AK27" s="41"/>
      <c r="AL27" s="41"/>
      <c r="AM27" s="41"/>
      <c r="AN27" s="41"/>
      <c r="AO27" s="39"/>
      <c r="AP27" s="39"/>
      <c r="AQ27" s="39"/>
      <c r="AR27" s="39"/>
      <c r="AS27" s="39"/>
      <c r="AT27" s="39"/>
      <c r="AU27" s="39"/>
      <c r="AV27" s="39"/>
      <c r="AW27" s="39"/>
      <c r="AX27" s="39"/>
      <c r="AY27" s="39"/>
      <c r="AZ27" s="39"/>
      <c r="BA27" s="39"/>
      <c r="BB27" s="39"/>
      <c r="BC27" s="39"/>
      <c r="BD27" s="39"/>
      <c r="BE27" s="39"/>
      <c r="BF27" s="37"/>
      <c r="BG27" s="37"/>
      <c r="BH27" s="37"/>
      <c r="BI27" s="37"/>
      <c r="BJ27" s="37"/>
      <c r="BK27" s="37"/>
    </row>
    <row r="28" spans="1:63" x14ac:dyDescent="0.3"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  <c r="AA28" s="37"/>
      <c r="AB28" s="37"/>
      <c r="AC28" s="37"/>
      <c r="AD28" s="37"/>
      <c r="AE28" s="37"/>
      <c r="AF28" s="37"/>
      <c r="AG28" s="37"/>
      <c r="AH28" s="37"/>
      <c r="AI28" s="37"/>
      <c r="AJ28" s="37"/>
      <c r="AK28" s="37"/>
      <c r="AL28" s="37"/>
      <c r="AM28" s="37"/>
      <c r="AN28" s="37"/>
      <c r="AO28" s="37"/>
      <c r="AP28" s="37"/>
      <c r="AQ28" s="37"/>
      <c r="AR28" s="37"/>
      <c r="AS28" s="37"/>
      <c r="AT28" s="37"/>
      <c r="AU28" s="37"/>
      <c r="AV28" s="37"/>
      <c r="AW28" s="37"/>
      <c r="AX28" s="37"/>
      <c r="AY28" s="37"/>
      <c r="AZ28" s="37"/>
      <c r="BA28" s="37"/>
      <c r="BB28" s="37"/>
      <c r="BC28" s="37"/>
      <c r="BD28" s="37"/>
      <c r="BE28" s="37"/>
      <c r="BF28" s="37"/>
      <c r="BG28" s="37"/>
      <c r="BH28" s="37"/>
      <c r="BI28" s="37"/>
      <c r="BJ28" s="37"/>
      <c r="BK28" s="37"/>
    </row>
    <row r="29" spans="1:63" x14ac:dyDescent="0.3"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  <c r="AA29" s="37"/>
      <c r="AB29" s="37"/>
      <c r="AC29" s="37"/>
      <c r="AD29" s="37"/>
      <c r="AE29" s="37"/>
      <c r="AF29" s="37"/>
      <c r="AG29" s="37"/>
      <c r="AH29" s="37"/>
      <c r="AI29" s="37"/>
      <c r="AJ29" s="37"/>
      <c r="AK29" s="37"/>
      <c r="AL29" s="37"/>
      <c r="AM29" s="37"/>
      <c r="AN29" s="37"/>
      <c r="AO29" s="37"/>
      <c r="AP29" s="37"/>
      <c r="AQ29" s="37"/>
      <c r="AR29" s="37"/>
      <c r="AS29" s="37"/>
      <c r="AT29" s="37"/>
      <c r="AU29" s="37"/>
      <c r="AV29" s="37"/>
      <c r="AW29" s="37"/>
      <c r="AX29" s="37"/>
      <c r="AY29" s="37"/>
      <c r="AZ29" s="37"/>
      <c r="BA29" s="37"/>
      <c r="BB29" s="37"/>
      <c r="BC29" s="37"/>
      <c r="BD29" s="37"/>
      <c r="BE29" s="37"/>
      <c r="BF29" s="37"/>
      <c r="BG29" s="37"/>
      <c r="BH29" s="37"/>
      <c r="BI29" s="37"/>
      <c r="BJ29" s="37"/>
      <c r="BK29" s="37"/>
    </row>
    <row r="30" spans="1:63" x14ac:dyDescent="0.3">
      <c r="A30" s="37"/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  <c r="AA30" s="37"/>
      <c r="AB30" s="37"/>
      <c r="AC30" s="37"/>
      <c r="AD30" s="37"/>
      <c r="AE30" s="37"/>
      <c r="AF30" s="37"/>
      <c r="AG30" s="37"/>
      <c r="AH30" s="37"/>
      <c r="AI30" s="37"/>
      <c r="AJ30" s="37"/>
      <c r="AK30" s="37"/>
      <c r="AL30" s="37"/>
      <c r="AM30" s="37"/>
      <c r="AN30" s="37"/>
      <c r="AO30" s="37"/>
      <c r="AP30" s="37"/>
      <c r="AQ30" s="37"/>
      <c r="AR30" s="37"/>
      <c r="AS30" s="37"/>
      <c r="AT30" s="37"/>
      <c r="AU30" s="37"/>
      <c r="AV30" s="37"/>
      <c r="AW30" s="37"/>
      <c r="AX30" s="37"/>
      <c r="AY30" s="37"/>
      <c r="AZ30" s="37"/>
      <c r="BA30" s="37"/>
      <c r="BB30" s="37"/>
      <c r="BC30" s="37"/>
      <c r="BD30" s="37"/>
      <c r="BE30" s="37"/>
      <c r="BF30" s="37"/>
      <c r="BG30" s="37"/>
      <c r="BH30" s="37"/>
      <c r="BI30" s="37"/>
      <c r="BJ30" s="37"/>
      <c r="BK30" s="37"/>
    </row>
    <row r="31" spans="1:63" x14ac:dyDescent="0.3">
      <c r="A31" s="37"/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  <c r="AA31" s="37"/>
      <c r="AB31" s="37"/>
      <c r="AC31" s="37"/>
      <c r="AD31" s="37"/>
      <c r="AE31" s="37"/>
      <c r="AF31" s="37"/>
      <c r="AG31" s="37"/>
      <c r="AH31" s="37"/>
      <c r="AI31" s="37"/>
      <c r="AJ31" s="37"/>
      <c r="AK31" s="37"/>
      <c r="AL31" s="37"/>
      <c r="AM31" s="37"/>
      <c r="AN31" s="37"/>
      <c r="AO31" s="37"/>
      <c r="AP31" s="37"/>
      <c r="AQ31" s="37"/>
      <c r="AR31" s="37"/>
      <c r="AS31" s="37"/>
      <c r="AT31" s="37"/>
      <c r="AU31" s="37"/>
      <c r="AV31" s="37"/>
      <c r="AW31" s="37"/>
      <c r="AX31" s="37"/>
      <c r="AY31" s="37"/>
      <c r="AZ31" s="37"/>
      <c r="BA31" s="37"/>
      <c r="BB31" s="37"/>
      <c r="BC31" s="37"/>
      <c r="BD31" s="37"/>
      <c r="BE31" s="37"/>
      <c r="BF31" s="37"/>
      <c r="BG31" s="37"/>
      <c r="BH31" s="37"/>
      <c r="BI31" s="37"/>
      <c r="BJ31" s="37"/>
      <c r="BK31" s="37"/>
    </row>
    <row r="32" spans="1:63" x14ac:dyDescent="0.3">
      <c r="A32" s="37"/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  <c r="AA32" s="37"/>
      <c r="AB32" s="37"/>
      <c r="AC32" s="37"/>
      <c r="AD32" s="37"/>
      <c r="AE32" s="37"/>
      <c r="AF32" s="37"/>
      <c r="AG32" s="37"/>
      <c r="AH32" s="37"/>
      <c r="AI32" s="37"/>
      <c r="AJ32" s="37"/>
      <c r="AK32" s="37"/>
      <c r="AL32" s="37"/>
      <c r="AM32" s="37"/>
      <c r="AN32" s="37"/>
      <c r="AO32" s="37"/>
      <c r="AP32" s="37"/>
      <c r="AQ32" s="37"/>
      <c r="AR32" s="37"/>
      <c r="AS32" s="37"/>
      <c r="AT32" s="37"/>
      <c r="AU32" s="37"/>
      <c r="AV32" s="37"/>
      <c r="AW32" s="37"/>
      <c r="AX32" s="37"/>
      <c r="AY32" s="37"/>
      <c r="AZ32" s="37"/>
      <c r="BA32" s="37"/>
      <c r="BB32" s="37"/>
      <c r="BC32" s="37"/>
      <c r="BD32" s="37"/>
      <c r="BE32" s="37"/>
      <c r="BF32" s="37"/>
      <c r="BG32" s="37"/>
      <c r="BH32" s="37"/>
      <c r="BI32" s="37"/>
      <c r="BJ32" s="37"/>
      <c r="BK32" s="37"/>
    </row>
    <row r="33" spans="1:63" x14ac:dyDescent="0.3">
      <c r="A33" s="37"/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  <c r="AA33" s="37"/>
      <c r="AB33" s="37"/>
      <c r="AC33" s="37"/>
      <c r="AD33" s="37"/>
      <c r="AE33" s="37"/>
      <c r="AF33" s="37"/>
      <c r="AG33" s="37"/>
      <c r="AH33" s="37"/>
      <c r="AI33" s="37"/>
      <c r="AJ33" s="37"/>
      <c r="AK33" s="37"/>
      <c r="AL33" s="37"/>
      <c r="AM33" s="37"/>
      <c r="AN33" s="37"/>
      <c r="AO33" s="37"/>
      <c r="AP33" s="37"/>
      <c r="AQ33" s="37"/>
      <c r="AR33" s="37"/>
      <c r="AS33" s="37"/>
      <c r="AT33" s="37"/>
      <c r="AU33" s="37"/>
      <c r="AV33" s="37"/>
      <c r="AW33" s="37"/>
      <c r="AX33" s="37"/>
      <c r="AY33" s="37"/>
      <c r="AZ33" s="37"/>
      <c r="BA33" s="37"/>
      <c r="BB33" s="37"/>
      <c r="BC33" s="37"/>
      <c r="BD33" s="37"/>
      <c r="BE33" s="37"/>
      <c r="BF33" s="37"/>
      <c r="BG33" s="37"/>
      <c r="BH33" s="37"/>
      <c r="BI33" s="37"/>
      <c r="BJ33" s="37"/>
      <c r="BK33" s="37"/>
    </row>
    <row r="34" spans="1:63" x14ac:dyDescent="0.3">
      <c r="A34" s="37"/>
      <c r="B34" s="37"/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  <c r="AA34" s="37"/>
      <c r="AB34" s="37"/>
      <c r="AC34" s="37"/>
      <c r="AD34" s="37"/>
      <c r="AE34" s="37"/>
      <c r="AF34" s="37"/>
      <c r="AG34" s="37"/>
      <c r="AH34" s="37"/>
      <c r="AI34" s="37"/>
      <c r="AJ34" s="37"/>
      <c r="AK34" s="37"/>
      <c r="AL34" s="37"/>
      <c r="AM34" s="37"/>
      <c r="AN34" s="37"/>
      <c r="AO34" s="37"/>
      <c r="AP34" s="37"/>
      <c r="AQ34" s="37"/>
      <c r="AR34" s="37"/>
      <c r="AS34" s="37"/>
      <c r="AT34" s="37"/>
      <c r="AU34" s="37"/>
      <c r="AV34" s="37"/>
      <c r="AW34" s="37"/>
      <c r="AX34" s="37"/>
      <c r="AY34" s="37"/>
      <c r="AZ34" s="37"/>
      <c r="BA34" s="37"/>
      <c r="BB34" s="37"/>
      <c r="BC34" s="37"/>
      <c r="BD34" s="37"/>
      <c r="BE34" s="37"/>
      <c r="BF34" s="37"/>
      <c r="BG34" s="37"/>
      <c r="BH34" s="37"/>
      <c r="BI34" s="37"/>
      <c r="BJ34" s="37"/>
      <c r="BK34" s="37"/>
    </row>
    <row r="35" spans="1:63" x14ac:dyDescent="0.3">
      <c r="A35" s="37"/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  <c r="AA35" s="37"/>
      <c r="AB35" s="37"/>
      <c r="AC35" s="37"/>
      <c r="AD35" s="37"/>
      <c r="AE35" s="37"/>
      <c r="AF35" s="37"/>
      <c r="AG35" s="37"/>
      <c r="AH35" s="37"/>
      <c r="AI35" s="37"/>
      <c r="AJ35" s="37"/>
      <c r="AK35" s="37"/>
      <c r="AL35" s="37"/>
      <c r="AM35" s="37"/>
      <c r="AN35" s="37"/>
      <c r="AO35" s="37"/>
      <c r="AP35" s="37"/>
      <c r="AQ35" s="37"/>
      <c r="AR35" s="37"/>
      <c r="AS35" s="37"/>
      <c r="AT35" s="37"/>
      <c r="AU35" s="37"/>
      <c r="AV35" s="37"/>
      <c r="AW35" s="37"/>
      <c r="AX35" s="37"/>
      <c r="AY35" s="37"/>
      <c r="AZ35" s="37"/>
      <c r="BA35" s="37"/>
      <c r="BB35" s="37"/>
      <c r="BC35" s="37"/>
      <c r="BD35" s="37"/>
      <c r="BE35" s="37"/>
      <c r="BF35" s="37"/>
      <c r="BG35" s="37"/>
      <c r="BH35" s="37"/>
      <c r="BI35" s="37"/>
      <c r="BJ35" s="37"/>
      <c r="BK35" s="37"/>
    </row>
    <row r="36" spans="1:63" x14ac:dyDescent="0.3">
      <c r="A36" s="37"/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  <c r="AA36" s="37"/>
      <c r="AB36" s="37"/>
      <c r="AC36" s="37"/>
      <c r="AD36" s="37"/>
      <c r="AE36" s="37"/>
      <c r="AF36" s="37"/>
      <c r="AG36" s="37"/>
      <c r="AH36" s="37"/>
      <c r="AI36" s="37"/>
      <c r="AJ36" s="37"/>
      <c r="AK36" s="37"/>
      <c r="AL36" s="37"/>
      <c r="AM36" s="37"/>
      <c r="AN36" s="37"/>
      <c r="AO36" s="37"/>
      <c r="AP36" s="37"/>
      <c r="AQ36" s="37"/>
      <c r="AR36" s="37"/>
      <c r="AS36" s="37"/>
      <c r="AT36" s="37"/>
      <c r="AU36" s="37"/>
      <c r="AV36" s="37"/>
      <c r="AW36" s="37"/>
      <c r="AX36" s="37"/>
      <c r="AY36" s="37"/>
      <c r="AZ36" s="37"/>
      <c r="BA36" s="37"/>
      <c r="BB36" s="37"/>
      <c r="BC36" s="37"/>
      <c r="BD36" s="37"/>
      <c r="BE36" s="37"/>
      <c r="BF36" s="37"/>
      <c r="BG36" s="37"/>
      <c r="BH36" s="37"/>
      <c r="BI36" s="37"/>
      <c r="BJ36" s="37"/>
      <c r="BK36" s="37"/>
    </row>
    <row r="37" spans="1:63" x14ac:dyDescent="0.3">
      <c r="A37" s="37"/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37"/>
      <c r="AB37" s="37"/>
      <c r="AC37" s="37"/>
      <c r="AD37" s="37"/>
      <c r="AE37" s="37"/>
      <c r="AF37" s="37"/>
      <c r="AG37" s="37"/>
      <c r="AH37" s="37"/>
      <c r="AI37" s="37"/>
      <c r="AJ37" s="37"/>
      <c r="AK37" s="37"/>
      <c r="AL37" s="37"/>
      <c r="AM37" s="37"/>
      <c r="AN37" s="37"/>
      <c r="AO37" s="37"/>
      <c r="AP37" s="37"/>
      <c r="AQ37" s="37"/>
      <c r="AR37" s="37"/>
      <c r="AS37" s="37"/>
      <c r="AT37" s="37"/>
      <c r="AU37" s="37"/>
      <c r="AV37" s="37"/>
      <c r="AW37" s="37"/>
      <c r="AX37" s="37"/>
      <c r="AY37" s="37"/>
      <c r="AZ37" s="37"/>
      <c r="BA37" s="37"/>
      <c r="BB37" s="37"/>
      <c r="BC37" s="37"/>
      <c r="BD37" s="37"/>
      <c r="BE37" s="37"/>
      <c r="BF37" s="37"/>
      <c r="BG37" s="37"/>
      <c r="BH37" s="37"/>
      <c r="BI37" s="37"/>
      <c r="BJ37" s="37"/>
      <c r="BK37" s="37"/>
    </row>
    <row r="38" spans="1:63" x14ac:dyDescent="0.3">
      <c r="A38" s="37"/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  <c r="AA38" s="37"/>
      <c r="AB38" s="37"/>
      <c r="AC38" s="37"/>
      <c r="AD38" s="37"/>
      <c r="AE38" s="37"/>
      <c r="AF38" s="37"/>
      <c r="AG38" s="37"/>
      <c r="AH38" s="37"/>
      <c r="AI38" s="37"/>
      <c r="AJ38" s="37"/>
      <c r="AK38" s="37"/>
      <c r="AL38" s="37"/>
      <c r="AM38" s="37"/>
      <c r="AN38" s="37"/>
      <c r="AO38" s="37"/>
      <c r="AP38" s="37"/>
      <c r="AQ38" s="37"/>
      <c r="AR38" s="37"/>
      <c r="AS38" s="37"/>
      <c r="AT38" s="37"/>
      <c r="AU38" s="37"/>
      <c r="AV38" s="37"/>
      <c r="AW38" s="37"/>
      <c r="AX38" s="37"/>
      <c r="AY38" s="37"/>
      <c r="AZ38" s="37"/>
      <c r="BA38" s="37"/>
      <c r="BB38" s="37"/>
      <c r="BC38" s="37"/>
      <c r="BD38" s="37"/>
      <c r="BE38" s="37"/>
      <c r="BF38" s="37"/>
      <c r="BG38" s="37"/>
      <c r="BH38" s="37"/>
      <c r="BI38" s="37"/>
      <c r="BJ38" s="37"/>
      <c r="BK38" s="37"/>
    </row>
    <row r="39" spans="1:63" x14ac:dyDescent="0.3">
      <c r="A39" s="37"/>
      <c r="B39" s="37"/>
      <c r="C39" s="37"/>
      <c r="D39" s="37"/>
      <c r="E39" s="37"/>
      <c r="F39" s="37"/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  <c r="AA39" s="37"/>
      <c r="AB39" s="37"/>
      <c r="AC39" s="37"/>
      <c r="AD39" s="37"/>
      <c r="AE39" s="37"/>
      <c r="AF39" s="37"/>
      <c r="AG39" s="37"/>
      <c r="AH39" s="37"/>
      <c r="AI39" s="37"/>
      <c r="AJ39" s="37"/>
      <c r="AK39" s="37"/>
      <c r="AL39" s="37"/>
      <c r="AM39" s="37"/>
      <c r="AN39" s="37"/>
      <c r="AO39" s="37"/>
      <c r="AP39" s="37"/>
      <c r="AQ39" s="37"/>
      <c r="AR39" s="37"/>
      <c r="AS39" s="37"/>
      <c r="AT39" s="37"/>
      <c r="AU39" s="37"/>
      <c r="AV39" s="37"/>
      <c r="AW39" s="37"/>
      <c r="AX39" s="37"/>
      <c r="AY39" s="37"/>
      <c r="AZ39" s="37"/>
      <c r="BA39" s="37"/>
      <c r="BB39" s="37"/>
      <c r="BC39" s="37"/>
      <c r="BD39" s="37"/>
      <c r="BE39" s="37"/>
      <c r="BF39" s="37"/>
      <c r="BG39" s="37"/>
      <c r="BH39" s="37"/>
      <c r="BI39" s="37"/>
      <c r="BJ39" s="37"/>
      <c r="BK39" s="37"/>
    </row>
    <row r="40" spans="1:63" x14ac:dyDescent="0.3">
      <c r="A40" s="37"/>
      <c r="B40" s="37"/>
      <c r="C40" s="37"/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  <c r="AA40" s="37"/>
      <c r="AB40" s="37"/>
      <c r="AC40" s="37"/>
      <c r="AD40" s="37"/>
      <c r="AE40" s="37"/>
      <c r="AF40" s="37"/>
      <c r="AG40" s="37"/>
      <c r="AH40" s="37"/>
      <c r="AI40" s="37"/>
      <c r="AJ40" s="37"/>
      <c r="AK40" s="37"/>
      <c r="AL40" s="37"/>
      <c r="AM40" s="37"/>
      <c r="AN40" s="37"/>
      <c r="AO40" s="37"/>
      <c r="AP40" s="37"/>
      <c r="AQ40" s="37"/>
      <c r="AR40" s="37"/>
      <c r="AS40" s="37"/>
      <c r="AT40" s="37"/>
      <c r="AU40" s="37"/>
      <c r="AV40" s="37"/>
      <c r="AW40" s="37"/>
      <c r="AX40" s="37"/>
      <c r="AY40" s="37"/>
      <c r="AZ40" s="37"/>
      <c r="BA40" s="37"/>
      <c r="BB40" s="37"/>
      <c r="BC40" s="37"/>
      <c r="BD40" s="37"/>
      <c r="BE40" s="37"/>
      <c r="BF40" s="37"/>
      <c r="BG40" s="37"/>
      <c r="BH40" s="37"/>
      <c r="BI40" s="37"/>
      <c r="BJ40" s="37"/>
      <c r="BK40" s="37"/>
    </row>
    <row r="41" spans="1:63" x14ac:dyDescent="0.3">
      <c r="A41" s="37"/>
      <c r="B41" s="37"/>
      <c r="C41" s="37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  <c r="AA41" s="37"/>
      <c r="AB41" s="37"/>
      <c r="AC41" s="37"/>
      <c r="AD41" s="37"/>
      <c r="AE41" s="37"/>
      <c r="AF41" s="37"/>
      <c r="AG41" s="37"/>
      <c r="AH41" s="37"/>
      <c r="AI41" s="37"/>
      <c r="AJ41" s="37"/>
      <c r="AK41" s="37"/>
      <c r="AL41" s="37"/>
      <c r="AM41" s="37"/>
      <c r="AN41" s="37"/>
      <c r="AO41" s="37"/>
      <c r="AP41" s="37"/>
      <c r="AQ41" s="37"/>
      <c r="AR41" s="37"/>
      <c r="AS41" s="37"/>
      <c r="AT41" s="37"/>
      <c r="AU41" s="37"/>
      <c r="AV41" s="37"/>
      <c r="AW41" s="37"/>
      <c r="AX41" s="37"/>
      <c r="AY41" s="37"/>
      <c r="AZ41" s="37"/>
      <c r="BA41" s="37"/>
      <c r="BB41" s="37"/>
      <c r="BC41" s="37"/>
      <c r="BD41" s="37"/>
      <c r="BE41" s="37"/>
      <c r="BF41" s="37"/>
      <c r="BG41" s="37"/>
      <c r="BH41" s="37"/>
      <c r="BI41" s="37"/>
      <c r="BJ41" s="37"/>
      <c r="BK41" s="37"/>
    </row>
    <row r="42" spans="1:63" x14ac:dyDescent="0.3">
      <c r="A42" s="37"/>
      <c r="B42" s="37"/>
      <c r="C42" s="37"/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  <c r="AA42" s="37"/>
      <c r="AB42" s="37"/>
      <c r="AC42" s="37"/>
      <c r="AD42" s="37"/>
      <c r="AE42" s="37"/>
      <c r="AF42" s="37"/>
      <c r="AG42" s="37"/>
      <c r="AH42" s="37"/>
      <c r="AI42" s="37"/>
      <c r="AJ42" s="37"/>
      <c r="AK42" s="37"/>
      <c r="AL42" s="37"/>
      <c r="AM42" s="37"/>
      <c r="AN42" s="37"/>
      <c r="AO42" s="37"/>
      <c r="AP42" s="37"/>
      <c r="AQ42" s="37"/>
      <c r="AR42" s="37"/>
      <c r="AS42" s="37"/>
      <c r="AT42" s="37"/>
      <c r="AU42" s="37"/>
      <c r="AV42" s="37"/>
      <c r="AW42" s="37"/>
      <c r="AX42" s="37"/>
      <c r="AY42" s="37"/>
      <c r="AZ42" s="37"/>
      <c r="BA42" s="37"/>
      <c r="BB42" s="37"/>
      <c r="BC42" s="37"/>
      <c r="BD42" s="37"/>
      <c r="BE42" s="37"/>
      <c r="BF42" s="37"/>
      <c r="BG42" s="37"/>
      <c r="BH42" s="37"/>
      <c r="BI42" s="37"/>
      <c r="BJ42" s="37"/>
      <c r="BK42" s="37"/>
    </row>
    <row r="43" spans="1:63" x14ac:dyDescent="0.3">
      <c r="A43" s="37"/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  <c r="AA43" s="37"/>
      <c r="AB43" s="37"/>
      <c r="AC43" s="37"/>
      <c r="AD43" s="37"/>
      <c r="AE43" s="37"/>
      <c r="AF43" s="37"/>
      <c r="AG43" s="37"/>
      <c r="AH43" s="37"/>
      <c r="AI43" s="37"/>
      <c r="AJ43" s="37"/>
      <c r="AK43" s="37"/>
      <c r="AL43" s="37"/>
      <c r="AM43" s="37"/>
      <c r="AN43" s="37"/>
      <c r="AO43" s="37"/>
      <c r="AP43" s="37"/>
      <c r="AQ43" s="37"/>
      <c r="AR43" s="37"/>
      <c r="AS43" s="37"/>
      <c r="AT43" s="37"/>
      <c r="AU43" s="37"/>
      <c r="AV43" s="37"/>
      <c r="AW43" s="37"/>
      <c r="AX43" s="37"/>
      <c r="AY43" s="37"/>
      <c r="AZ43" s="37"/>
      <c r="BA43" s="37"/>
      <c r="BB43" s="37"/>
      <c r="BC43" s="37"/>
      <c r="BD43" s="37"/>
      <c r="BE43" s="37"/>
      <c r="BF43" s="37"/>
      <c r="BG43" s="37"/>
      <c r="BH43" s="37"/>
      <c r="BI43" s="37"/>
      <c r="BJ43" s="37"/>
      <c r="BK43" s="37"/>
    </row>
    <row r="44" spans="1:63" x14ac:dyDescent="0.3">
      <c r="A44" s="37"/>
      <c r="B44" s="37"/>
      <c r="C44" s="37"/>
      <c r="D44" s="37"/>
      <c r="E44" s="37"/>
      <c r="F44" s="37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  <c r="AA44" s="37"/>
      <c r="AB44" s="37"/>
      <c r="AC44" s="37"/>
      <c r="AD44" s="37"/>
      <c r="AE44" s="37"/>
      <c r="AF44" s="37"/>
      <c r="AG44" s="37"/>
      <c r="AH44" s="37"/>
      <c r="AI44" s="37"/>
      <c r="AJ44" s="37"/>
      <c r="AK44" s="37"/>
      <c r="AL44" s="37"/>
      <c r="AM44" s="37"/>
      <c r="AN44" s="37"/>
      <c r="AO44" s="37"/>
      <c r="AP44" s="37"/>
      <c r="AQ44" s="37"/>
      <c r="AR44" s="37"/>
      <c r="AS44" s="37"/>
      <c r="AT44" s="37"/>
      <c r="AU44" s="37"/>
      <c r="AV44" s="37"/>
      <c r="AW44" s="37"/>
      <c r="AX44" s="37"/>
      <c r="AY44" s="37"/>
      <c r="AZ44" s="37"/>
      <c r="BA44" s="37"/>
      <c r="BB44" s="37"/>
      <c r="BC44" s="37"/>
      <c r="BD44" s="37"/>
      <c r="BE44" s="37"/>
      <c r="BF44" s="37"/>
      <c r="BG44" s="37"/>
      <c r="BH44" s="37"/>
      <c r="BI44" s="37"/>
      <c r="BJ44" s="37"/>
      <c r="BK44" s="37"/>
    </row>
    <row r="45" spans="1:63" x14ac:dyDescent="0.3">
      <c r="A45" s="37"/>
      <c r="B45" s="37"/>
      <c r="C45" s="37"/>
      <c r="E45" s="37"/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  <c r="AA45" s="37"/>
      <c r="AB45" s="37"/>
      <c r="AC45" s="37"/>
      <c r="AD45" s="37"/>
      <c r="AE45" s="37"/>
      <c r="AF45" s="37"/>
      <c r="AG45" s="37"/>
      <c r="AH45" s="37"/>
      <c r="AI45" s="37"/>
      <c r="AJ45" s="37"/>
      <c r="AK45" s="37"/>
      <c r="AL45" s="37"/>
      <c r="AM45" s="37"/>
      <c r="AN45" s="37"/>
      <c r="AO45" s="37"/>
      <c r="AP45" s="37"/>
      <c r="AQ45" s="37"/>
      <c r="AR45" s="37"/>
      <c r="AS45" s="37"/>
      <c r="AT45" s="37"/>
      <c r="AU45" s="37"/>
      <c r="AV45" s="37"/>
      <c r="AW45" s="37"/>
      <c r="AX45" s="37"/>
      <c r="AY45" s="37"/>
      <c r="AZ45" s="37"/>
      <c r="BA45" s="37"/>
      <c r="BB45" s="37"/>
      <c r="BC45" s="37"/>
      <c r="BD45" s="37"/>
      <c r="BE45" s="37"/>
      <c r="BF45" s="37"/>
      <c r="BG45" s="37"/>
      <c r="BH45" s="37"/>
      <c r="BI45" s="37"/>
      <c r="BJ45" s="37"/>
      <c r="BK45" s="37"/>
    </row>
    <row r="46" spans="1:63" x14ac:dyDescent="0.3">
      <c r="A46" s="37"/>
      <c r="B46" s="37"/>
      <c r="C46" s="37"/>
      <c r="D46" s="37"/>
      <c r="E46" s="37"/>
      <c r="F46" s="37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  <c r="AA46" s="37"/>
      <c r="AB46" s="37"/>
      <c r="AC46" s="37"/>
      <c r="AD46" s="37"/>
      <c r="AE46" s="37"/>
      <c r="AF46" s="37"/>
      <c r="AG46" s="37"/>
      <c r="AH46" s="37"/>
      <c r="AI46" s="37"/>
      <c r="AJ46" s="37"/>
      <c r="AK46" s="37"/>
      <c r="AL46" s="37"/>
      <c r="AM46" s="37"/>
      <c r="AN46" s="37"/>
      <c r="AO46" s="37"/>
      <c r="AP46" s="37"/>
      <c r="AQ46" s="37"/>
      <c r="AR46" s="37"/>
      <c r="AS46" s="37"/>
      <c r="AT46" s="37"/>
      <c r="AU46" s="37"/>
      <c r="AV46" s="37"/>
      <c r="AW46" s="37"/>
      <c r="AX46" s="37"/>
      <c r="AY46" s="37"/>
      <c r="AZ46" s="37"/>
      <c r="BA46" s="37"/>
      <c r="BB46" s="37"/>
      <c r="BC46" s="37"/>
      <c r="BD46" s="37"/>
      <c r="BE46" s="37"/>
      <c r="BF46" s="37"/>
      <c r="BG46" s="37"/>
      <c r="BH46" s="37"/>
      <c r="BI46" s="37"/>
      <c r="BJ46" s="37"/>
      <c r="BK46" s="37"/>
    </row>
    <row r="47" spans="1:63" x14ac:dyDescent="0.3">
      <c r="A47" s="37"/>
      <c r="B47" s="37"/>
      <c r="C47" s="37"/>
      <c r="D47" s="37"/>
      <c r="E47" s="37"/>
      <c r="F47" s="37"/>
      <c r="G47" s="37"/>
      <c r="H47" s="37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  <c r="AA47" s="37"/>
      <c r="AB47" s="37"/>
      <c r="AC47" s="37"/>
      <c r="AD47" s="37"/>
      <c r="AE47" s="37"/>
      <c r="AF47" s="37"/>
      <c r="AG47" s="37"/>
      <c r="AH47" s="37"/>
      <c r="AI47" s="37"/>
      <c r="AJ47" s="37"/>
      <c r="AK47" s="37"/>
      <c r="AL47" s="37"/>
      <c r="AM47" s="37"/>
      <c r="AN47" s="37"/>
      <c r="AO47" s="37"/>
      <c r="AP47" s="37"/>
      <c r="AQ47" s="37"/>
      <c r="AR47" s="37"/>
      <c r="AS47" s="37"/>
      <c r="AT47" s="37"/>
      <c r="AU47" s="37"/>
      <c r="AV47" s="37"/>
      <c r="AW47" s="37"/>
      <c r="AX47" s="37"/>
      <c r="AY47" s="37"/>
      <c r="AZ47" s="37"/>
      <c r="BA47" s="37"/>
      <c r="BB47" s="37"/>
      <c r="BC47" s="37"/>
      <c r="BD47" s="37"/>
      <c r="BE47" s="37"/>
      <c r="BF47" s="37"/>
      <c r="BG47" s="37"/>
      <c r="BH47" s="37"/>
      <c r="BI47" s="37"/>
      <c r="BJ47" s="37"/>
      <c r="BK47" s="37"/>
    </row>
    <row r="48" spans="1:63" x14ac:dyDescent="0.3">
      <c r="A48" s="37"/>
      <c r="B48" s="37"/>
      <c r="C48" s="37"/>
      <c r="D48" s="37"/>
      <c r="E48" s="37"/>
      <c r="F48" s="37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  <c r="AA48" s="37"/>
      <c r="AB48" s="37"/>
      <c r="AC48" s="37"/>
      <c r="AD48" s="37"/>
      <c r="AE48" s="37"/>
      <c r="AF48" s="37"/>
      <c r="AG48" s="37"/>
      <c r="AH48" s="37"/>
      <c r="AI48" s="37"/>
      <c r="AJ48" s="37"/>
      <c r="AK48" s="37"/>
      <c r="AL48" s="37"/>
      <c r="AM48" s="37"/>
      <c r="AN48" s="37"/>
      <c r="AO48" s="37"/>
      <c r="AP48" s="37"/>
      <c r="AQ48" s="37"/>
      <c r="AR48" s="37"/>
      <c r="AS48" s="37"/>
      <c r="AT48" s="37"/>
      <c r="AU48" s="37"/>
      <c r="AV48" s="37"/>
      <c r="AW48" s="37"/>
      <c r="AX48" s="37"/>
      <c r="AY48" s="37"/>
      <c r="AZ48" s="37"/>
      <c r="BA48" s="37"/>
      <c r="BB48" s="37"/>
      <c r="BC48" s="37"/>
      <c r="BD48" s="37"/>
      <c r="BE48" s="37"/>
      <c r="BF48" s="37"/>
      <c r="BG48" s="37"/>
      <c r="BH48" s="37"/>
      <c r="BI48" s="37"/>
      <c r="BJ48" s="37"/>
      <c r="BK48" s="37"/>
    </row>
    <row r="49" spans="1:4" x14ac:dyDescent="0.3">
      <c r="A49" s="37"/>
      <c r="B49" s="37"/>
      <c r="C49" s="37"/>
      <c r="D49" s="37"/>
    </row>
  </sheetData>
  <mergeCells count="1">
    <mergeCell ref="F5:H5"/>
  </mergeCells>
  <conditionalFormatting sqref="J7:AN26">
    <cfRule type="containsText" dxfId="71" priority="1" operator="containsText" text="P">
      <formula>NOT(ISERROR(SEARCH("P",J7)))</formula>
    </cfRule>
    <cfRule type="containsText" dxfId="70" priority="2" operator="containsText" text="L">
      <formula>NOT(ISERROR(SEARCH("L",J7)))</formula>
    </cfRule>
    <cfRule type="containsText" dxfId="69" priority="3" operator="containsText" text="A">
      <formula>NOT(ISERROR(SEARCH("A",J7)))</formula>
    </cfRule>
    <cfRule type="containsText" dxfId="68" priority="4" operator="containsText" text="WO">
      <formula>NOT(ISERROR(SEARCH("WO",J7)))</formula>
    </cfRule>
    <cfRule type="containsText" dxfId="67" priority="5" operator="containsText" text="WO">
      <formula>NOT(ISERROR(SEARCH("WO",J7)))</formula>
    </cfRule>
  </conditionalFormatting>
  <dataValidations count="2">
    <dataValidation type="list" allowBlank="1" showInputMessage="1" showErrorMessage="1" sqref="J7:M26 O7:T26 V7:AA26 AC7:AH26 AJ7:AN26">
      <formula1>"P,A,L"</formula1>
    </dataValidation>
    <dataValidation type="list" allowBlank="1" showInputMessage="1" showErrorMessage="1" sqref="H4">
      <formula1>#REF!</formula1>
    </dataValidation>
  </dataValidations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OCT!AT7:AW7</xm:f>
              <xm:sqref>BD7</xm:sqref>
            </x14:sparkline>
            <x14:sparkline>
              <xm:f>OCT!AT8:AW8</xm:f>
              <xm:sqref>BD8</xm:sqref>
            </x14:sparkline>
            <x14:sparkline>
              <xm:f>OCT!AT9:AW9</xm:f>
              <xm:sqref>BD9</xm:sqref>
            </x14:sparkline>
            <x14:sparkline>
              <xm:f>OCT!AT10:AW10</xm:f>
              <xm:sqref>BD10</xm:sqref>
            </x14:sparkline>
            <x14:sparkline>
              <xm:f>OCT!AT11:AW11</xm:f>
              <xm:sqref>BD11</xm:sqref>
            </x14:sparkline>
            <x14:sparkline>
              <xm:f>OCT!AT12:AW12</xm:f>
              <xm:sqref>BD12</xm:sqref>
            </x14:sparkline>
            <x14:sparkline>
              <xm:f>OCT!AT13:AW13</xm:f>
              <xm:sqref>BD13</xm:sqref>
            </x14:sparkline>
            <x14:sparkline>
              <xm:f>OCT!AT14:AW14</xm:f>
              <xm:sqref>BD14</xm:sqref>
            </x14:sparkline>
            <x14:sparkline>
              <xm:f>OCT!AT15:AW15</xm:f>
              <xm:sqref>BD15</xm:sqref>
            </x14:sparkline>
            <x14:sparkline>
              <xm:f>OCT!AT16:AW16</xm:f>
              <xm:sqref>BD16</xm:sqref>
            </x14:sparkline>
            <x14:sparkline>
              <xm:f>OCT!AT17:AW17</xm:f>
              <xm:sqref>BD17</xm:sqref>
            </x14:sparkline>
            <x14:sparkline>
              <xm:f>OCT!AT18:AW18</xm:f>
              <xm:sqref>BD18</xm:sqref>
            </x14:sparkline>
            <x14:sparkline>
              <xm:f>OCT!AT19:AW19</xm:f>
              <xm:sqref>BD19</xm:sqref>
            </x14:sparkline>
            <x14:sparkline>
              <xm:f>OCT!AT20:AW20</xm:f>
              <xm:sqref>BD20</xm:sqref>
            </x14:sparkline>
            <x14:sparkline>
              <xm:f>OCT!AT21:AW21</xm:f>
              <xm:sqref>BD21</xm:sqref>
            </x14:sparkline>
            <x14:sparkline>
              <xm:f>OCT!AT22:AW22</xm:f>
              <xm:sqref>BD22</xm:sqref>
            </x14:sparkline>
            <x14:sparkline>
              <xm:f>OCT!AT23:AW23</xm:f>
              <xm:sqref>BD23</xm:sqref>
            </x14:sparkline>
            <x14:sparkline>
              <xm:f>OCT!AT24:AW24</xm:f>
              <xm:sqref>BD24</xm:sqref>
            </x14:sparkline>
            <x14:sparkline>
              <xm:f>OCT!AT25:AW25</xm:f>
              <xm:sqref>BD25</xm:sqref>
            </x14:sparkline>
            <x14:sparkline>
              <xm:f>OCT!AT26:AW26</xm:f>
              <xm:sqref>BD26</xm:sqref>
            </x14:sparkline>
          </x14:sparklines>
        </x14:sparklineGroup>
      </x14:sparklineGroup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49"/>
  <sheetViews>
    <sheetView topLeftCell="A10" zoomScaleNormal="100" workbookViewId="0">
      <selection activeCell="E30" sqref="E30"/>
    </sheetView>
  </sheetViews>
  <sheetFormatPr defaultColWidth="9.109375" defaultRowHeight="14.4" x14ac:dyDescent="0.3"/>
  <cols>
    <col min="1" max="6" width="9.109375" style="7"/>
    <col min="7" max="7" width="11.6640625" style="7" bestFit="1" customWidth="1"/>
    <col min="8" max="8" width="20.44140625" style="7" bestFit="1" customWidth="1"/>
    <col min="9" max="9" width="9.109375" style="7"/>
    <col min="10" max="10" width="5.33203125" style="7" bestFit="1" customWidth="1"/>
    <col min="11" max="11" width="6" style="7" customWidth="1"/>
    <col min="12" max="12" width="5" style="7" bestFit="1" customWidth="1"/>
    <col min="13" max="14" width="4.33203125" style="7" bestFit="1" customWidth="1"/>
    <col min="15" max="15" width="6.5546875" style="7" customWidth="1"/>
    <col min="16" max="16" width="4.33203125" style="7" bestFit="1" customWidth="1"/>
    <col min="17" max="17" width="5.109375" style="7" bestFit="1" customWidth="1"/>
    <col min="18" max="18" width="4.33203125" style="7" bestFit="1" customWidth="1"/>
    <col min="19" max="19" width="5" style="7" bestFit="1" customWidth="1"/>
    <col min="20" max="20" width="4.33203125" style="7" bestFit="1" customWidth="1"/>
    <col min="21" max="21" width="5.109375" style="7" bestFit="1" customWidth="1"/>
    <col min="22" max="22" width="5" style="7" bestFit="1" customWidth="1"/>
    <col min="23" max="23" width="4.33203125" style="7" bestFit="1" customWidth="1"/>
    <col min="24" max="24" width="5.109375" style="7" bestFit="1" customWidth="1"/>
    <col min="25" max="25" width="4.33203125" style="7" bestFit="1" customWidth="1"/>
    <col min="26" max="26" width="5" style="7" bestFit="1" customWidth="1"/>
    <col min="27" max="27" width="4.33203125" style="7" bestFit="1" customWidth="1"/>
    <col min="28" max="28" width="5.109375" style="7" bestFit="1" customWidth="1"/>
    <col min="29" max="29" width="5" style="7" bestFit="1" customWidth="1"/>
    <col min="30" max="30" width="4.33203125" style="7" bestFit="1" customWidth="1"/>
    <col min="31" max="31" width="5.109375" style="7" bestFit="1" customWidth="1"/>
    <col min="32" max="32" width="4.33203125" style="7" bestFit="1" customWidth="1"/>
    <col min="33" max="33" width="5" style="7" bestFit="1" customWidth="1"/>
    <col min="34" max="34" width="4.33203125" style="7" bestFit="1" customWidth="1"/>
    <col min="35" max="35" width="5.109375" style="7" bestFit="1" customWidth="1"/>
    <col min="36" max="37" width="4.33203125" style="7" bestFit="1" customWidth="1"/>
    <col min="38" max="38" width="5.109375" style="7" bestFit="1" customWidth="1"/>
    <col min="39" max="39" width="4.33203125" style="7" bestFit="1" customWidth="1"/>
    <col min="40" max="40" width="9.109375" style="7"/>
    <col min="41" max="41" width="9.33203125" style="7" bestFit="1" customWidth="1"/>
    <col min="42" max="43" width="14.33203125" style="7" customWidth="1"/>
    <col min="44" max="44" width="18" style="7" customWidth="1"/>
    <col min="45" max="45" width="10.5546875" style="7" customWidth="1"/>
    <col min="46" max="46" width="9.88671875" style="7" customWidth="1"/>
    <col min="47" max="47" width="9.33203125" style="7" bestFit="1" customWidth="1"/>
    <col min="48" max="48" width="12.109375" style="7" customWidth="1"/>
    <col min="49" max="49" width="9.33203125" style="7" bestFit="1" customWidth="1"/>
    <col min="50" max="50" width="11.88671875" style="7" customWidth="1"/>
    <col min="51" max="51" width="14.33203125" style="7" bestFit="1" customWidth="1"/>
    <col min="52" max="52" width="15.44140625" style="7" customWidth="1"/>
    <col min="53" max="53" width="12.88671875" style="7" customWidth="1"/>
    <col min="54" max="54" width="14.5546875" style="7" bestFit="1" customWidth="1"/>
    <col min="55" max="55" width="13.5546875" style="7" customWidth="1"/>
    <col min="56" max="16384" width="9.109375" style="7"/>
  </cols>
  <sheetData>
    <row r="1" spans="4:67" x14ac:dyDescent="0.3">
      <c r="AN1" s="37"/>
      <c r="BD1" s="37"/>
      <c r="BE1" s="37"/>
      <c r="BF1" s="37"/>
      <c r="BG1" s="37"/>
      <c r="BH1" s="37"/>
      <c r="BI1" s="37"/>
      <c r="BJ1" s="37"/>
    </row>
    <row r="2" spans="4:67" x14ac:dyDescent="0.3">
      <c r="AN2" s="37"/>
      <c r="BD2" s="37"/>
      <c r="BE2" s="37"/>
      <c r="BF2" s="37"/>
      <c r="BG2" s="37"/>
      <c r="BH2" s="37"/>
      <c r="BI2" s="37"/>
      <c r="BJ2" s="37"/>
    </row>
    <row r="3" spans="4:67" x14ac:dyDescent="0.3"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  <c r="AA3" s="37"/>
      <c r="AB3" s="37"/>
      <c r="AC3" s="37"/>
      <c r="AD3" s="37"/>
      <c r="AE3" s="37"/>
      <c r="AF3" s="37"/>
      <c r="AG3" s="37"/>
      <c r="AH3" s="37"/>
      <c r="AI3" s="37"/>
      <c r="AJ3" s="37"/>
      <c r="AK3" s="37"/>
      <c r="AL3" s="37"/>
      <c r="AM3" s="37"/>
      <c r="AN3" s="37"/>
      <c r="AO3" s="37"/>
      <c r="AP3" s="37"/>
      <c r="AQ3" s="37"/>
      <c r="AR3" s="37"/>
      <c r="AS3" s="37"/>
      <c r="AT3" s="37"/>
      <c r="AU3" s="37"/>
      <c r="AV3" s="37"/>
      <c r="AW3" s="37"/>
      <c r="AX3" s="37"/>
      <c r="AY3" s="37"/>
      <c r="AZ3" s="37"/>
      <c r="BA3" s="37"/>
      <c r="BB3" s="37"/>
      <c r="BC3" s="37"/>
      <c r="BD3" s="37"/>
      <c r="BE3" s="37"/>
      <c r="BF3" s="37"/>
      <c r="BG3" s="37"/>
      <c r="BH3" s="37"/>
      <c r="BI3" s="37"/>
      <c r="BJ3" s="37"/>
      <c r="BK3" s="37"/>
      <c r="BL3" s="37"/>
      <c r="BM3" s="37"/>
      <c r="BN3" s="37"/>
      <c r="BO3" s="37"/>
    </row>
    <row r="4" spans="4:67" ht="15" thickBot="1" x14ac:dyDescent="0.35">
      <c r="D4" s="37"/>
      <c r="E4" s="41"/>
      <c r="F4" s="41"/>
      <c r="G4" s="42" t="s">
        <v>26</v>
      </c>
      <c r="H4" s="43">
        <v>45962</v>
      </c>
      <c r="I4" s="42"/>
      <c r="J4" s="42" t="s">
        <v>27</v>
      </c>
      <c r="K4" s="43">
        <f>EOMONTH(H4,0)</f>
        <v>45991</v>
      </c>
      <c r="L4" s="42"/>
      <c r="M4" s="42"/>
      <c r="N4" s="42">
        <f>(DATEDIF($H$4,$K$4,"D"))+1</f>
        <v>30</v>
      </c>
      <c r="O4" s="44" t="str">
        <f>TEXT(H4,"MMMM")</f>
        <v>November</v>
      </c>
      <c r="P4" s="42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41"/>
      <c r="AC4" s="41"/>
      <c r="AD4" s="41"/>
      <c r="AE4" s="41"/>
      <c r="AF4" s="41"/>
      <c r="AG4" s="41"/>
      <c r="AH4" s="41"/>
      <c r="AI4" s="41"/>
      <c r="AJ4" s="41"/>
      <c r="AK4" s="41"/>
      <c r="AL4" s="41"/>
      <c r="AM4" s="41"/>
      <c r="AN4" s="37"/>
      <c r="AO4" s="37"/>
      <c r="AP4" s="37"/>
      <c r="AQ4" s="37"/>
      <c r="AR4" s="37"/>
      <c r="AS4" s="37"/>
      <c r="AT4" s="37"/>
      <c r="AU4" s="38"/>
      <c r="AV4" s="37"/>
      <c r="AW4" s="37"/>
      <c r="AX4" s="37"/>
      <c r="AY4" s="37"/>
      <c r="AZ4" s="37"/>
      <c r="BA4" s="37"/>
      <c r="BB4" s="37"/>
      <c r="BC4" s="37"/>
      <c r="BD4" s="37"/>
      <c r="BE4" s="37"/>
      <c r="BF4" s="37"/>
      <c r="BG4" s="37"/>
      <c r="BH4" s="37"/>
      <c r="BI4" s="37"/>
      <c r="BJ4" s="37"/>
      <c r="BK4" s="37"/>
      <c r="BL4" s="37"/>
      <c r="BM4" s="37"/>
      <c r="BN4" s="37"/>
      <c r="BO4" s="37"/>
    </row>
    <row r="5" spans="4:67" ht="15" thickBot="1" x14ac:dyDescent="0.35">
      <c r="D5" s="37"/>
      <c r="E5" s="41"/>
      <c r="F5" s="88" t="s">
        <v>40</v>
      </c>
      <c r="G5" s="89"/>
      <c r="H5" s="89"/>
      <c r="I5" s="54" t="s">
        <v>29</v>
      </c>
      <c r="J5" s="8" t="str">
        <f>TEXT(J6,"DDD")</f>
        <v>Sat</v>
      </c>
      <c r="K5" s="8" t="str">
        <f t="shared" ref="K5:AM5" si="0">TEXT(K6,"DDD")</f>
        <v>Sun</v>
      </c>
      <c r="L5" s="8" t="str">
        <f t="shared" si="0"/>
        <v>Mon</v>
      </c>
      <c r="M5" s="8" t="str">
        <f t="shared" si="0"/>
        <v>Tue</v>
      </c>
      <c r="N5" s="8" t="str">
        <f t="shared" si="0"/>
        <v>Wed</v>
      </c>
      <c r="O5" s="8" t="str">
        <f t="shared" si="0"/>
        <v>Thu</v>
      </c>
      <c r="P5" s="8" t="str">
        <f t="shared" si="0"/>
        <v>Fri</v>
      </c>
      <c r="Q5" s="8" t="str">
        <f t="shared" si="0"/>
        <v>Sat</v>
      </c>
      <c r="R5" s="8" t="str">
        <f t="shared" si="0"/>
        <v>Sun</v>
      </c>
      <c r="S5" s="8" t="str">
        <f t="shared" si="0"/>
        <v>Mon</v>
      </c>
      <c r="T5" s="8" t="str">
        <f t="shared" si="0"/>
        <v>Tue</v>
      </c>
      <c r="U5" s="8" t="str">
        <f t="shared" si="0"/>
        <v>Wed</v>
      </c>
      <c r="V5" s="8" t="str">
        <f t="shared" si="0"/>
        <v>Thu</v>
      </c>
      <c r="W5" s="8" t="str">
        <f t="shared" si="0"/>
        <v>Fri</v>
      </c>
      <c r="X5" s="8" t="str">
        <f t="shared" si="0"/>
        <v>Sat</v>
      </c>
      <c r="Y5" s="8" t="str">
        <f t="shared" si="0"/>
        <v>Sun</v>
      </c>
      <c r="Z5" s="8" t="str">
        <f t="shared" si="0"/>
        <v>Mon</v>
      </c>
      <c r="AA5" s="8" t="str">
        <f t="shared" si="0"/>
        <v>Tue</v>
      </c>
      <c r="AB5" s="8" t="str">
        <f t="shared" si="0"/>
        <v>Wed</v>
      </c>
      <c r="AC5" s="8" t="str">
        <f t="shared" si="0"/>
        <v>Thu</v>
      </c>
      <c r="AD5" s="8" t="str">
        <f t="shared" si="0"/>
        <v>Fri</v>
      </c>
      <c r="AE5" s="8" t="str">
        <f t="shared" si="0"/>
        <v>Sat</v>
      </c>
      <c r="AF5" s="8" t="str">
        <f t="shared" si="0"/>
        <v>Sun</v>
      </c>
      <c r="AG5" s="8" t="str">
        <f t="shared" si="0"/>
        <v>Mon</v>
      </c>
      <c r="AH5" s="8" t="str">
        <f t="shared" si="0"/>
        <v>Tue</v>
      </c>
      <c r="AI5" s="8" t="str">
        <f t="shared" si="0"/>
        <v>Wed</v>
      </c>
      <c r="AJ5" s="8" t="str">
        <f t="shared" si="0"/>
        <v>Thu</v>
      </c>
      <c r="AK5" s="8" t="str">
        <f t="shared" si="0"/>
        <v>Fri</v>
      </c>
      <c r="AL5" s="8" t="str">
        <f t="shared" si="0"/>
        <v>Sat</v>
      </c>
      <c r="AM5" s="9" t="str">
        <f t="shared" si="0"/>
        <v>Sun</v>
      </c>
      <c r="AN5" s="39"/>
      <c r="AO5" s="39"/>
      <c r="AP5" s="39"/>
      <c r="AQ5" s="39"/>
      <c r="AR5" s="39"/>
      <c r="AS5" s="39"/>
      <c r="AT5" s="39"/>
      <c r="AU5" s="39"/>
      <c r="AV5" s="39"/>
      <c r="AW5" s="39"/>
      <c r="AX5" s="39"/>
      <c r="AY5" s="39"/>
      <c r="AZ5" s="39"/>
      <c r="BA5" s="39"/>
      <c r="BB5" s="39"/>
      <c r="BC5" s="39"/>
      <c r="BD5" s="39"/>
      <c r="BE5" s="37"/>
      <c r="BF5" s="37"/>
      <c r="BG5" s="37"/>
      <c r="BH5" s="37"/>
      <c r="BI5" s="37"/>
      <c r="BJ5" s="37"/>
    </row>
    <row r="6" spans="4:67" ht="18.600000000000001" thickBot="1" x14ac:dyDescent="0.35">
      <c r="D6" s="37"/>
      <c r="E6" s="41"/>
      <c r="F6" s="10" t="s">
        <v>24</v>
      </c>
      <c r="G6" s="11" t="s">
        <v>23</v>
      </c>
      <c r="H6" s="11" t="s">
        <v>25</v>
      </c>
      <c r="I6" s="13" t="s">
        <v>28</v>
      </c>
      <c r="J6" s="14">
        <f>H4</f>
        <v>45962</v>
      </c>
      <c r="K6" s="14">
        <f>IF(J6&lt;$K$4,J6+1,"")</f>
        <v>45963</v>
      </c>
      <c r="L6" s="14">
        <f t="shared" ref="L6:AL6" si="1">IF(K6&lt;$K$4,K6+1,"")</f>
        <v>45964</v>
      </c>
      <c r="M6" s="14">
        <f t="shared" si="1"/>
        <v>45965</v>
      </c>
      <c r="N6" s="14">
        <f t="shared" si="1"/>
        <v>45966</v>
      </c>
      <c r="O6" s="14">
        <f t="shared" si="1"/>
        <v>45967</v>
      </c>
      <c r="P6" s="14">
        <f t="shared" si="1"/>
        <v>45968</v>
      </c>
      <c r="Q6" s="14">
        <f t="shared" si="1"/>
        <v>45969</v>
      </c>
      <c r="R6" s="14">
        <f t="shared" si="1"/>
        <v>45970</v>
      </c>
      <c r="S6" s="14">
        <f t="shared" si="1"/>
        <v>45971</v>
      </c>
      <c r="T6" s="14">
        <f t="shared" si="1"/>
        <v>45972</v>
      </c>
      <c r="U6" s="14">
        <f t="shared" si="1"/>
        <v>45973</v>
      </c>
      <c r="V6" s="14">
        <f t="shared" si="1"/>
        <v>45974</v>
      </c>
      <c r="W6" s="14">
        <f t="shared" si="1"/>
        <v>45975</v>
      </c>
      <c r="X6" s="14">
        <f t="shared" si="1"/>
        <v>45976</v>
      </c>
      <c r="Y6" s="14">
        <f t="shared" si="1"/>
        <v>45977</v>
      </c>
      <c r="Z6" s="14">
        <f t="shared" si="1"/>
        <v>45978</v>
      </c>
      <c r="AA6" s="14">
        <f t="shared" si="1"/>
        <v>45979</v>
      </c>
      <c r="AB6" s="14">
        <f t="shared" si="1"/>
        <v>45980</v>
      </c>
      <c r="AC6" s="14">
        <f t="shared" si="1"/>
        <v>45981</v>
      </c>
      <c r="AD6" s="14">
        <f t="shared" si="1"/>
        <v>45982</v>
      </c>
      <c r="AE6" s="14">
        <f t="shared" si="1"/>
        <v>45983</v>
      </c>
      <c r="AF6" s="14">
        <f t="shared" si="1"/>
        <v>45984</v>
      </c>
      <c r="AG6" s="14">
        <f t="shared" si="1"/>
        <v>45985</v>
      </c>
      <c r="AH6" s="14">
        <f t="shared" si="1"/>
        <v>45986</v>
      </c>
      <c r="AI6" s="14">
        <f t="shared" si="1"/>
        <v>45987</v>
      </c>
      <c r="AJ6" s="14">
        <f t="shared" si="1"/>
        <v>45988</v>
      </c>
      <c r="AK6" s="14">
        <f t="shared" si="1"/>
        <v>45989</v>
      </c>
      <c r="AL6" s="14">
        <f t="shared" si="1"/>
        <v>45990</v>
      </c>
      <c r="AM6" s="15">
        <f t="shared" ref="AM6" si="2">IF(AL6&lt;$K$4,AL6+1,"")</f>
        <v>45991</v>
      </c>
      <c r="AN6" s="40"/>
      <c r="AO6" s="34" t="s">
        <v>24</v>
      </c>
      <c r="AP6" s="35" t="s">
        <v>23</v>
      </c>
      <c r="AQ6" s="35" t="s">
        <v>41</v>
      </c>
      <c r="AR6" s="35" t="s">
        <v>25</v>
      </c>
      <c r="AS6" s="35" t="s">
        <v>30</v>
      </c>
      <c r="AT6" s="35" t="s">
        <v>31</v>
      </c>
      <c r="AU6" s="35" t="s">
        <v>32</v>
      </c>
      <c r="AV6" s="35" t="s">
        <v>38</v>
      </c>
      <c r="AW6" s="35" t="s">
        <v>29</v>
      </c>
      <c r="AX6" s="35" t="s">
        <v>33</v>
      </c>
      <c r="AY6" s="35" t="s">
        <v>34</v>
      </c>
      <c r="AZ6" s="35" t="s">
        <v>35</v>
      </c>
      <c r="BA6" s="35" t="s">
        <v>36</v>
      </c>
      <c r="BB6" s="35" t="s">
        <v>37</v>
      </c>
      <c r="BC6" s="36" t="s">
        <v>39</v>
      </c>
      <c r="BD6" s="39"/>
      <c r="BE6" s="37"/>
      <c r="BF6" s="37"/>
      <c r="BG6" s="37"/>
      <c r="BH6" s="37"/>
      <c r="BI6" s="37"/>
      <c r="BJ6" s="37"/>
    </row>
    <row r="7" spans="4:67" x14ac:dyDescent="0.3">
      <c r="D7" s="37"/>
      <c r="E7" s="41"/>
      <c r="F7" s="16">
        <v>1</v>
      </c>
      <c r="G7" s="17">
        <v>1001</v>
      </c>
      <c r="H7" s="17" t="s">
        <v>3</v>
      </c>
      <c r="I7" s="16">
        <f t="shared" ref="I7:I26" si="3">COUNTIF($J$5:$AM$5,"SUN")</f>
        <v>5</v>
      </c>
      <c r="J7" s="48" t="s">
        <v>42</v>
      </c>
      <c r="K7" s="48" t="str">
        <f t="shared" ref="K7:AM15" si="4">IF(K$5="Sun","WO","")</f>
        <v>WO</v>
      </c>
      <c r="L7" s="48" t="s">
        <v>42</v>
      </c>
      <c r="M7" s="48" t="s">
        <v>42</v>
      </c>
      <c r="N7" s="48" t="s">
        <v>44</v>
      </c>
      <c r="O7" s="48" t="s">
        <v>42</v>
      </c>
      <c r="P7" s="48" t="s">
        <v>42</v>
      </c>
      <c r="Q7" s="48" t="s">
        <v>42</v>
      </c>
      <c r="R7" s="48" t="str">
        <f t="shared" si="4"/>
        <v>WO</v>
      </c>
      <c r="S7" s="48" t="s">
        <v>42</v>
      </c>
      <c r="T7" s="48" t="s">
        <v>42</v>
      </c>
      <c r="U7" s="48" t="s">
        <v>42</v>
      </c>
      <c r="V7" s="48" t="s">
        <v>42</v>
      </c>
      <c r="W7" s="48" t="s">
        <v>44</v>
      </c>
      <c r="X7" s="48" t="s">
        <v>42</v>
      </c>
      <c r="Y7" s="48" t="str">
        <f t="shared" si="4"/>
        <v>WO</v>
      </c>
      <c r="Z7" s="48" t="s">
        <v>42</v>
      </c>
      <c r="AA7" s="48" t="s">
        <v>42</v>
      </c>
      <c r="AB7" s="48" t="s">
        <v>42</v>
      </c>
      <c r="AC7" s="48" t="s">
        <v>42</v>
      </c>
      <c r="AD7" s="48" t="s">
        <v>42</v>
      </c>
      <c r="AE7" s="48" t="s">
        <v>42</v>
      </c>
      <c r="AF7" s="48" t="str">
        <f t="shared" si="4"/>
        <v>WO</v>
      </c>
      <c r="AG7" s="48" t="s">
        <v>42</v>
      </c>
      <c r="AH7" s="48" t="s">
        <v>42</v>
      </c>
      <c r="AI7" s="48" t="s">
        <v>42</v>
      </c>
      <c r="AJ7" s="48" t="s">
        <v>42</v>
      </c>
      <c r="AK7" s="48" t="s">
        <v>42</v>
      </c>
      <c r="AL7" s="48" t="s">
        <v>42</v>
      </c>
      <c r="AM7" s="49" t="str">
        <f t="shared" si="4"/>
        <v>WO</v>
      </c>
      <c r="AN7" s="39"/>
      <c r="AO7" s="28">
        <v>1</v>
      </c>
      <c r="AP7" s="21">
        <v>1001</v>
      </c>
      <c r="AQ7" s="33" t="str">
        <f t="shared" ref="AQ7:AQ26" si="5">$O$4</f>
        <v>November</v>
      </c>
      <c r="AR7" s="21" t="s">
        <v>3</v>
      </c>
      <c r="AS7" s="29">
        <f t="shared" ref="AS7:AS26" si="6">COUNTIF($J7:$AM7,"*P*")</f>
        <v>23</v>
      </c>
      <c r="AT7" s="29">
        <f t="shared" ref="AT7:AT26" si="7">COUNTIF($J7:$AM7,"*A*")</f>
        <v>0</v>
      </c>
      <c r="AU7" s="29">
        <f t="shared" ref="AU7:AU26" si="8">COUNTIF($J7:$AM7,"*L*")</f>
        <v>2</v>
      </c>
      <c r="AV7" s="29">
        <f t="shared" ref="AV7:AV26" si="9">I7</f>
        <v>5</v>
      </c>
      <c r="AW7" s="30">
        <f>$N$4</f>
        <v>30</v>
      </c>
      <c r="AX7" s="29">
        <f>NOVReport[[#This Row],[Days]]-NOVReport[[#This Row],[Adsent]]</f>
        <v>30</v>
      </c>
      <c r="AY7" s="31">
        <v>10000</v>
      </c>
      <c r="AZ7" s="32">
        <f>NOVReport[[#This Row],[Salary]]/NOVReport[[#This Row],[Days]]</f>
        <v>333.33333333333331</v>
      </c>
      <c r="BA7" s="31">
        <f>NOVReport[[#This Row],[Perday salary]]*NOVReport[[#This Row],[Adsent]]</f>
        <v>0</v>
      </c>
      <c r="BB7" s="31">
        <f>NOVReport[[#This Row],[Salary]]-NOVReport[[#This Row],[Detuction ]]</f>
        <v>10000</v>
      </c>
      <c r="BC7" s="29"/>
      <c r="BD7" s="39"/>
      <c r="BE7" s="37"/>
      <c r="BF7" s="37"/>
      <c r="BG7" s="37"/>
      <c r="BH7" s="37"/>
      <c r="BI7" s="37"/>
      <c r="BJ7" s="37"/>
    </row>
    <row r="8" spans="4:67" x14ac:dyDescent="0.3">
      <c r="D8" s="37"/>
      <c r="E8" s="41"/>
      <c r="F8" s="20">
        <v>2</v>
      </c>
      <c r="G8" s="21">
        <v>1002</v>
      </c>
      <c r="H8" s="21" t="s">
        <v>4</v>
      </c>
      <c r="I8" s="20">
        <f t="shared" si="3"/>
        <v>5</v>
      </c>
      <c r="J8" s="50" t="s">
        <v>42</v>
      </c>
      <c r="K8" s="50" t="str">
        <f t="shared" si="4"/>
        <v>WO</v>
      </c>
      <c r="L8" s="50" t="s">
        <v>42</v>
      </c>
      <c r="M8" s="50" t="s">
        <v>42</v>
      </c>
      <c r="N8" s="50" t="s">
        <v>44</v>
      </c>
      <c r="O8" s="50" t="s">
        <v>42</v>
      </c>
      <c r="P8" s="50" t="s">
        <v>42</v>
      </c>
      <c r="Q8" s="50" t="s">
        <v>42</v>
      </c>
      <c r="R8" s="50" t="str">
        <f t="shared" si="4"/>
        <v>WO</v>
      </c>
      <c r="S8" s="50" t="s">
        <v>42</v>
      </c>
      <c r="T8" s="50" t="s">
        <v>42</v>
      </c>
      <c r="U8" s="50" t="s">
        <v>42</v>
      </c>
      <c r="V8" s="50" t="s">
        <v>42</v>
      </c>
      <c r="W8" s="50" t="s">
        <v>44</v>
      </c>
      <c r="X8" s="50" t="s">
        <v>42</v>
      </c>
      <c r="Y8" s="50" t="str">
        <f t="shared" si="4"/>
        <v>WO</v>
      </c>
      <c r="Z8" s="50" t="s">
        <v>42</v>
      </c>
      <c r="AA8" s="50" t="s">
        <v>42</v>
      </c>
      <c r="AB8" s="50" t="s">
        <v>42</v>
      </c>
      <c r="AC8" s="50" t="s">
        <v>42</v>
      </c>
      <c r="AD8" s="50" t="s">
        <v>42</v>
      </c>
      <c r="AE8" s="50" t="s">
        <v>42</v>
      </c>
      <c r="AF8" s="50" t="str">
        <f t="shared" si="4"/>
        <v>WO</v>
      </c>
      <c r="AG8" s="50" t="s">
        <v>42</v>
      </c>
      <c r="AH8" s="50" t="s">
        <v>42</v>
      </c>
      <c r="AI8" s="50" t="s">
        <v>42</v>
      </c>
      <c r="AJ8" s="50" t="s">
        <v>42</v>
      </c>
      <c r="AK8" s="50" t="s">
        <v>42</v>
      </c>
      <c r="AL8" s="50" t="s">
        <v>42</v>
      </c>
      <c r="AM8" s="51" t="str">
        <f t="shared" si="4"/>
        <v>WO</v>
      </c>
      <c r="AN8" s="39"/>
      <c r="AO8" s="28">
        <v>2</v>
      </c>
      <c r="AP8" s="21">
        <v>1002</v>
      </c>
      <c r="AQ8" s="33" t="str">
        <f t="shared" si="5"/>
        <v>November</v>
      </c>
      <c r="AR8" s="21" t="s">
        <v>4</v>
      </c>
      <c r="AS8" s="29">
        <f t="shared" si="6"/>
        <v>23</v>
      </c>
      <c r="AT8" s="29">
        <f t="shared" si="7"/>
        <v>0</v>
      </c>
      <c r="AU8" s="29">
        <f t="shared" si="8"/>
        <v>2</v>
      </c>
      <c r="AV8" s="29">
        <f t="shared" si="9"/>
        <v>5</v>
      </c>
      <c r="AW8" s="30">
        <f t="shared" ref="AW8:AW26" si="10">$N$4</f>
        <v>30</v>
      </c>
      <c r="AX8" s="29">
        <f>NOVReport[[#This Row],[Days]]-NOVReport[[#This Row],[Adsent]]</f>
        <v>30</v>
      </c>
      <c r="AY8" s="31">
        <v>20000</v>
      </c>
      <c r="AZ8" s="32">
        <f>NOVReport[[#This Row],[Salary]]/NOVReport[[#This Row],[Days]]</f>
        <v>666.66666666666663</v>
      </c>
      <c r="BA8" s="31">
        <f>NOVReport[[#This Row],[Perday salary]]*NOVReport[[#This Row],[Adsent]]</f>
        <v>0</v>
      </c>
      <c r="BB8" s="31">
        <f>NOVReport[[#This Row],[Salary]]-NOVReport[[#This Row],[Detuction ]]</f>
        <v>20000</v>
      </c>
      <c r="BC8" s="29"/>
      <c r="BD8" s="39"/>
      <c r="BE8" s="37"/>
      <c r="BF8" s="37"/>
      <c r="BG8" s="37"/>
      <c r="BH8" s="37"/>
      <c r="BI8" s="37"/>
      <c r="BJ8" s="37"/>
    </row>
    <row r="9" spans="4:67" x14ac:dyDescent="0.3">
      <c r="D9" s="37"/>
      <c r="E9" s="41"/>
      <c r="F9" s="20">
        <v>3</v>
      </c>
      <c r="G9" s="21">
        <v>1003</v>
      </c>
      <c r="H9" s="21" t="s">
        <v>5</v>
      </c>
      <c r="I9" s="20">
        <f t="shared" si="3"/>
        <v>5</v>
      </c>
      <c r="J9" s="50" t="s">
        <v>42</v>
      </c>
      <c r="K9" s="50" t="str">
        <f t="shared" si="4"/>
        <v>WO</v>
      </c>
      <c r="L9" s="50" t="s">
        <v>42</v>
      </c>
      <c r="M9" s="50" t="s">
        <v>42</v>
      </c>
      <c r="N9" s="50" t="s">
        <v>44</v>
      </c>
      <c r="O9" s="50" t="s">
        <v>42</v>
      </c>
      <c r="P9" s="50" t="s">
        <v>42</v>
      </c>
      <c r="Q9" s="50" t="s">
        <v>42</v>
      </c>
      <c r="R9" s="50" t="str">
        <f t="shared" si="4"/>
        <v>WO</v>
      </c>
      <c r="S9" s="50" t="s">
        <v>42</v>
      </c>
      <c r="T9" s="50" t="s">
        <v>42</v>
      </c>
      <c r="U9" s="50" t="s">
        <v>42</v>
      </c>
      <c r="V9" s="50" t="s">
        <v>42</v>
      </c>
      <c r="W9" s="50" t="s">
        <v>44</v>
      </c>
      <c r="X9" s="50" t="s">
        <v>42</v>
      </c>
      <c r="Y9" s="50" t="str">
        <f t="shared" si="4"/>
        <v>WO</v>
      </c>
      <c r="Z9" s="50" t="s">
        <v>42</v>
      </c>
      <c r="AA9" s="50" t="s">
        <v>42</v>
      </c>
      <c r="AB9" s="50" t="s">
        <v>42</v>
      </c>
      <c r="AC9" s="50" t="s">
        <v>43</v>
      </c>
      <c r="AD9" s="50" t="s">
        <v>42</v>
      </c>
      <c r="AE9" s="50" t="s">
        <v>42</v>
      </c>
      <c r="AF9" s="50" t="str">
        <f t="shared" si="4"/>
        <v>WO</v>
      </c>
      <c r="AG9" s="50" t="s">
        <v>42</v>
      </c>
      <c r="AH9" s="50" t="s">
        <v>42</v>
      </c>
      <c r="AI9" s="50" t="s">
        <v>42</v>
      </c>
      <c r="AJ9" s="50" t="s">
        <v>42</v>
      </c>
      <c r="AK9" s="50" t="s">
        <v>42</v>
      </c>
      <c r="AL9" s="50" t="s">
        <v>42</v>
      </c>
      <c r="AM9" s="51" t="str">
        <f t="shared" si="4"/>
        <v>WO</v>
      </c>
      <c r="AN9" s="39"/>
      <c r="AO9" s="28">
        <v>3</v>
      </c>
      <c r="AP9" s="21">
        <v>1003</v>
      </c>
      <c r="AQ9" s="33" t="str">
        <f t="shared" si="5"/>
        <v>November</v>
      </c>
      <c r="AR9" s="21" t="s">
        <v>5</v>
      </c>
      <c r="AS9" s="29">
        <f t="shared" si="6"/>
        <v>22</v>
      </c>
      <c r="AT9" s="29">
        <f t="shared" si="7"/>
        <v>1</v>
      </c>
      <c r="AU9" s="29">
        <f t="shared" si="8"/>
        <v>2</v>
      </c>
      <c r="AV9" s="29">
        <f t="shared" si="9"/>
        <v>5</v>
      </c>
      <c r="AW9" s="30">
        <f t="shared" si="10"/>
        <v>30</v>
      </c>
      <c r="AX9" s="29">
        <f>NOVReport[[#This Row],[Days]]-NOVReport[[#This Row],[Adsent]]</f>
        <v>29</v>
      </c>
      <c r="AY9" s="31">
        <v>25000</v>
      </c>
      <c r="AZ9" s="32">
        <f>NOVReport[[#This Row],[Salary]]/NOVReport[[#This Row],[Days]]</f>
        <v>833.33333333333337</v>
      </c>
      <c r="BA9" s="31">
        <f>NOVReport[[#This Row],[Perday salary]]*NOVReport[[#This Row],[Adsent]]</f>
        <v>833.33333333333337</v>
      </c>
      <c r="BB9" s="31">
        <f>NOVReport[[#This Row],[Salary]]-NOVReport[[#This Row],[Detuction ]]</f>
        <v>24166.666666666668</v>
      </c>
      <c r="BC9" s="29"/>
      <c r="BD9" s="39"/>
      <c r="BE9" s="37"/>
      <c r="BF9" s="37"/>
      <c r="BG9" s="37"/>
      <c r="BH9" s="37"/>
      <c r="BI9" s="37"/>
      <c r="BJ9" s="37"/>
    </row>
    <row r="10" spans="4:67" x14ac:dyDescent="0.3">
      <c r="D10" s="37"/>
      <c r="E10" s="41"/>
      <c r="F10" s="20">
        <v>4</v>
      </c>
      <c r="G10" s="21">
        <v>1004</v>
      </c>
      <c r="H10" s="21" t="s">
        <v>6</v>
      </c>
      <c r="I10" s="20">
        <f t="shared" si="3"/>
        <v>5</v>
      </c>
      <c r="J10" s="50" t="s">
        <v>42</v>
      </c>
      <c r="K10" s="50" t="str">
        <f t="shared" si="4"/>
        <v>WO</v>
      </c>
      <c r="L10" s="50" t="s">
        <v>42</v>
      </c>
      <c r="M10" s="50" t="s">
        <v>42</v>
      </c>
      <c r="N10" s="50" t="s">
        <v>44</v>
      </c>
      <c r="O10" s="50" t="s">
        <v>42</v>
      </c>
      <c r="P10" s="50" t="s">
        <v>42</v>
      </c>
      <c r="Q10" s="50" t="s">
        <v>42</v>
      </c>
      <c r="R10" s="50" t="str">
        <f t="shared" si="4"/>
        <v>WO</v>
      </c>
      <c r="S10" s="50" t="s">
        <v>42</v>
      </c>
      <c r="T10" s="50" t="s">
        <v>42</v>
      </c>
      <c r="U10" s="50" t="s">
        <v>42</v>
      </c>
      <c r="V10" s="50" t="s">
        <v>42</v>
      </c>
      <c r="W10" s="50" t="s">
        <v>44</v>
      </c>
      <c r="X10" s="50" t="s">
        <v>42</v>
      </c>
      <c r="Y10" s="50" t="str">
        <f t="shared" si="4"/>
        <v>WO</v>
      </c>
      <c r="Z10" s="50" t="s">
        <v>42</v>
      </c>
      <c r="AA10" s="50" t="s">
        <v>42</v>
      </c>
      <c r="AB10" s="50" t="s">
        <v>42</v>
      </c>
      <c r="AC10" s="50" t="s">
        <v>42</v>
      </c>
      <c r="AD10" s="50" t="s">
        <v>42</v>
      </c>
      <c r="AE10" s="50" t="s">
        <v>42</v>
      </c>
      <c r="AF10" s="50" t="str">
        <f t="shared" si="4"/>
        <v>WO</v>
      </c>
      <c r="AG10" s="50" t="s">
        <v>42</v>
      </c>
      <c r="AH10" s="50" t="s">
        <v>42</v>
      </c>
      <c r="AI10" s="50" t="s">
        <v>42</v>
      </c>
      <c r="AJ10" s="50" t="s">
        <v>42</v>
      </c>
      <c r="AK10" s="50" t="s">
        <v>42</v>
      </c>
      <c r="AL10" s="50" t="s">
        <v>42</v>
      </c>
      <c r="AM10" s="51" t="str">
        <f t="shared" si="4"/>
        <v>WO</v>
      </c>
      <c r="AN10" s="39"/>
      <c r="AO10" s="28">
        <v>4</v>
      </c>
      <c r="AP10" s="21">
        <v>1004</v>
      </c>
      <c r="AQ10" s="33" t="str">
        <f t="shared" si="5"/>
        <v>November</v>
      </c>
      <c r="AR10" s="21" t="s">
        <v>6</v>
      </c>
      <c r="AS10" s="29">
        <f t="shared" si="6"/>
        <v>23</v>
      </c>
      <c r="AT10" s="29">
        <f t="shared" si="7"/>
        <v>0</v>
      </c>
      <c r="AU10" s="29">
        <f t="shared" si="8"/>
        <v>2</v>
      </c>
      <c r="AV10" s="29">
        <f t="shared" si="9"/>
        <v>5</v>
      </c>
      <c r="AW10" s="30">
        <f t="shared" si="10"/>
        <v>30</v>
      </c>
      <c r="AX10" s="29">
        <f>NOVReport[[#This Row],[Days]]-NOVReport[[#This Row],[Adsent]]</f>
        <v>30</v>
      </c>
      <c r="AY10" s="31">
        <v>30000</v>
      </c>
      <c r="AZ10" s="32">
        <f>NOVReport[[#This Row],[Salary]]/NOVReport[[#This Row],[Days]]</f>
        <v>1000</v>
      </c>
      <c r="BA10" s="31">
        <f>NOVReport[[#This Row],[Perday salary]]*NOVReport[[#This Row],[Adsent]]</f>
        <v>0</v>
      </c>
      <c r="BB10" s="31">
        <f>NOVReport[[#This Row],[Salary]]-NOVReport[[#This Row],[Detuction ]]</f>
        <v>30000</v>
      </c>
      <c r="BC10" s="29"/>
      <c r="BD10" s="39"/>
      <c r="BE10" s="37"/>
      <c r="BF10" s="37"/>
      <c r="BG10" s="37"/>
      <c r="BH10" s="37"/>
      <c r="BI10" s="37"/>
      <c r="BJ10" s="37"/>
    </row>
    <row r="11" spans="4:67" x14ac:dyDescent="0.3">
      <c r="D11" s="37"/>
      <c r="E11" s="41"/>
      <c r="F11" s="20">
        <v>5</v>
      </c>
      <c r="G11" s="21">
        <v>1005</v>
      </c>
      <c r="H11" s="21" t="s">
        <v>7</v>
      </c>
      <c r="I11" s="20">
        <f t="shared" si="3"/>
        <v>5</v>
      </c>
      <c r="J11" s="50" t="s">
        <v>42</v>
      </c>
      <c r="K11" s="50" t="str">
        <f t="shared" si="4"/>
        <v>WO</v>
      </c>
      <c r="L11" s="50" t="s">
        <v>42</v>
      </c>
      <c r="M11" s="50" t="s">
        <v>42</v>
      </c>
      <c r="N11" s="50" t="s">
        <v>44</v>
      </c>
      <c r="O11" s="50" t="s">
        <v>42</v>
      </c>
      <c r="P11" s="50" t="s">
        <v>43</v>
      </c>
      <c r="Q11" s="50" t="s">
        <v>42</v>
      </c>
      <c r="R11" s="50" t="str">
        <f t="shared" si="4"/>
        <v>WO</v>
      </c>
      <c r="S11" s="50" t="s">
        <v>42</v>
      </c>
      <c r="T11" s="50" t="s">
        <v>42</v>
      </c>
      <c r="U11" s="50" t="s">
        <v>42</v>
      </c>
      <c r="V11" s="50" t="s">
        <v>42</v>
      </c>
      <c r="W11" s="50" t="s">
        <v>44</v>
      </c>
      <c r="X11" s="50" t="s">
        <v>42</v>
      </c>
      <c r="Y11" s="50" t="str">
        <f t="shared" si="4"/>
        <v>WO</v>
      </c>
      <c r="Z11" s="50" t="s">
        <v>42</v>
      </c>
      <c r="AA11" s="50" t="s">
        <v>42</v>
      </c>
      <c r="AB11" s="50" t="s">
        <v>42</v>
      </c>
      <c r="AC11" s="50" t="s">
        <v>42</v>
      </c>
      <c r="AD11" s="50" t="s">
        <v>42</v>
      </c>
      <c r="AE11" s="50" t="s">
        <v>42</v>
      </c>
      <c r="AF11" s="50" t="str">
        <f t="shared" si="4"/>
        <v>WO</v>
      </c>
      <c r="AG11" s="50" t="s">
        <v>42</v>
      </c>
      <c r="AH11" s="50" t="s">
        <v>42</v>
      </c>
      <c r="AI11" s="50" t="s">
        <v>42</v>
      </c>
      <c r="AJ11" s="50" t="s">
        <v>42</v>
      </c>
      <c r="AK11" s="50" t="s">
        <v>43</v>
      </c>
      <c r="AL11" s="50" t="s">
        <v>42</v>
      </c>
      <c r="AM11" s="51" t="str">
        <f t="shared" si="4"/>
        <v>WO</v>
      </c>
      <c r="AN11" s="39"/>
      <c r="AO11" s="28">
        <v>5</v>
      </c>
      <c r="AP11" s="21">
        <v>1005</v>
      </c>
      <c r="AQ11" s="33" t="str">
        <f t="shared" si="5"/>
        <v>November</v>
      </c>
      <c r="AR11" s="21" t="s">
        <v>7</v>
      </c>
      <c r="AS11" s="29">
        <f t="shared" si="6"/>
        <v>21</v>
      </c>
      <c r="AT11" s="29">
        <f t="shared" si="7"/>
        <v>2</v>
      </c>
      <c r="AU11" s="29">
        <f t="shared" si="8"/>
        <v>2</v>
      </c>
      <c r="AV11" s="29">
        <f t="shared" si="9"/>
        <v>5</v>
      </c>
      <c r="AW11" s="30">
        <f t="shared" si="10"/>
        <v>30</v>
      </c>
      <c r="AX11" s="29">
        <f>NOVReport[[#This Row],[Days]]-NOVReport[[#This Row],[Adsent]]</f>
        <v>28</v>
      </c>
      <c r="AY11" s="31">
        <v>45000</v>
      </c>
      <c r="AZ11" s="32">
        <f>NOVReport[[#This Row],[Salary]]/NOVReport[[#This Row],[Days]]</f>
        <v>1500</v>
      </c>
      <c r="BA11" s="31">
        <f>NOVReport[[#This Row],[Perday salary]]*NOVReport[[#This Row],[Adsent]]</f>
        <v>3000</v>
      </c>
      <c r="BB11" s="31">
        <f>NOVReport[[#This Row],[Salary]]-NOVReport[[#This Row],[Detuction ]]</f>
        <v>42000</v>
      </c>
      <c r="BC11" s="29"/>
      <c r="BD11" s="39"/>
      <c r="BE11" s="37"/>
      <c r="BF11" s="37"/>
      <c r="BG11" s="37"/>
      <c r="BH11" s="37"/>
      <c r="BI11" s="37"/>
      <c r="BJ11" s="37"/>
    </row>
    <row r="12" spans="4:67" x14ac:dyDescent="0.3">
      <c r="D12" s="37"/>
      <c r="E12" s="41"/>
      <c r="F12" s="20">
        <v>6</v>
      </c>
      <c r="G12" s="21">
        <v>1006</v>
      </c>
      <c r="H12" s="21" t="s">
        <v>8</v>
      </c>
      <c r="I12" s="20">
        <f t="shared" si="3"/>
        <v>5</v>
      </c>
      <c r="J12" s="50" t="s">
        <v>42</v>
      </c>
      <c r="K12" s="50" t="str">
        <f t="shared" si="4"/>
        <v>WO</v>
      </c>
      <c r="L12" s="50" t="s">
        <v>42</v>
      </c>
      <c r="M12" s="50" t="s">
        <v>42</v>
      </c>
      <c r="N12" s="50" t="s">
        <v>44</v>
      </c>
      <c r="O12" s="50" t="s">
        <v>42</v>
      </c>
      <c r="P12" s="50" t="s">
        <v>43</v>
      </c>
      <c r="Q12" s="50" t="s">
        <v>42</v>
      </c>
      <c r="R12" s="50" t="str">
        <f t="shared" si="4"/>
        <v>WO</v>
      </c>
      <c r="S12" s="50" t="s">
        <v>42</v>
      </c>
      <c r="T12" s="50" t="s">
        <v>42</v>
      </c>
      <c r="U12" s="50" t="s">
        <v>42</v>
      </c>
      <c r="V12" s="50" t="s">
        <v>42</v>
      </c>
      <c r="W12" s="50" t="s">
        <v>44</v>
      </c>
      <c r="X12" s="50" t="s">
        <v>42</v>
      </c>
      <c r="Y12" s="50" t="str">
        <f t="shared" si="4"/>
        <v>WO</v>
      </c>
      <c r="Z12" s="50" t="s">
        <v>42</v>
      </c>
      <c r="AA12" s="50" t="s">
        <v>42</v>
      </c>
      <c r="AB12" s="50" t="s">
        <v>42</v>
      </c>
      <c r="AC12" s="50" t="s">
        <v>42</v>
      </c>
      <c r="AD12" s="50" t="s">
        <v>42</v>
      </c>
      <c r="AE12" s="50" t="s">
        <v>42</v>
      </c>
      <c r="AF12" s="50" t="str">
        <f t="shared" si="4"/>
        <v>WO</v>
      </c>
      <c r="AG12" s="50" t="s">
        <v>42</v>
      </c>
      <c r="AH12" s="50" t="s">
        <v>42</v>
      </c>
      <c r="AI12" s="50" t="s">
        <v>42</v>
      </c>
      <c r="AJ12" s="50" t="s">
        <v>42</v>
      </c>
      <c r="AK12" s="50" t="s">
        <v>42</v>
      </c>
      <c r="AL12" s="50" t="s">
        <v>42</v>
      </c>
      <c r="AM12" s="51" t="str">
        <f t="shared" si="4"/>
        <v>WO</v>
      </c>
      <c r="AN12" s="39"/>
      <c r="AO12" s="28">
        <v>6</v>
      </c>
      <c r="AP12" s="21">
        <v>1006</v>
      </c>
      <c r="AQ12" s="33" t="str">
        <f t="shared" si="5"/>
        <v>November</v>
      </c>
      <c r="AR12" s="21" t="s">
        <v>8</v>
      </c>
      <c r="AS12" s="29">
        <f t="shared" si="6"/>
        <v>22</v>
      </c>
      <c r="AT12" s="29">
        <f t="shared" si="7"/>
        <v>1</v>
      </c>
      <c r="AU12" s="29">
        <f t="shared" si="8"/>
        <v>2</v>
      </c>
      <c r="AV12" s="29">
        <f t="shared" si="9"/>
        <v>5</v>
      </c>
      <c r="AW12" s="30">
        <f t="shared" si="10"/>
        <v>30</v>
      </c>
      <c r="AX12" s="29">
        <f>NOVReport[[#This Row],[Days]]-NOVReport[[#This Row],[Adsent]]</f>
        <v>29</v>
      </c>
      <c r="AY12" s="31">
        <v>15000</v>
      </c>
      <c r="AZ12" s="32">
        <f>NOVReport[[#This Row],[Salary]]/NOVReport[[#This Row],[Days]]</f>
        <v>500</v>
      </c>
      <c r="BA12" s="31">
        <f>NOVReport[[#This Row],[Perday salary]]*NOVReport[[#This Row],[Adsent]]</f>
        <v>500</v>
      </c>
      <c r="BB12" s="31">
        <f>NOVReport[[#This Row],[Salary]]-NOVReport[[#This Row],[Detuction ]]</f>
        <v>14500</v>
      </c>
      <c r="BC12" s="29"/>
      <c r="BD12" s="39"/>
      <c r="BE12" s="37"/>
      <c r="BF12" s="37"/>
      <c r="BG12" s="37"/>
      <c r="BH12" s="37"/>
      <c r="BI12" s="37"/>
      <c r="BJ12" s="37"/>
    </row>
    <row r="13" spans="4:67" x14ac:dyDescent="0.3">
      <c r="D13" s="37"/>
      <c r="E13" s="41"/>
      <c r="F13" s="20">
        <v>7</v>
      </c>
      <c r="G13" s="21">
        <v>1007</v>
      </c>
      <c r="H13" s="21" t="s">
        <v>9</v>
      </c>
      <c r="I13" s="20">
        <f t="shared" si="3"/>
        <v>5</v>
      </c>
      <c r="J13" s="50" t="s">
        <v>42</v>
      </c>
      <c r="K13" s="50" t="str">
        <f t="shared" si="4"/>
        <v>WO</v>
      </c>
      <c r="L13" s="50" t="s">
        <v>42</v>
      </c>
      <c r="M13" s="50" t="s">
        <v>42</v>
      </c>
      <c r="N13" s="50" t="s">
        <v>44</v>
      </c>
      <c r="O13" s="50" t="s">
        <v>42</v>
      </c>
      <c r="P13" s="50" t="s">
        <v>42</v>
      </c>
      <c r="Q13" s="50" t="s">
        <v>42</v>
      </c>
      <c r="R13" s="50" t="str">
        <f t="shared" si="4"/>
        <v>WO</v>
      </c>
      <c r="S13" s="50" t="s">
        <v>42</v>
      </c>
      <c r="T13" s="50" t="s">
        <v>42</v>
      </c>
      <c r="U13" s="50" t="s">
        <v>42</v>
      </c>
      <c r="V13" s="50" t="s">
        <v>42</v>
      </c>
      <c r="W13" s="50" t="s">
        <v>44</v>
      </c>
      <c r="X13" s="50" t="s">
        <v>42</v>
      </c>
      <c r="Y13" s="50" t="str">
        <f t="shared" si="4"/>
        <v>WO</v>
      </c>
      <c r="Z13" s="50" t="s">
        <v>42</v>
      </c>
      <c r="AA13" s="50" t="s">
        <v>42</v>
      </c>
      <c r="AB13" s="50" t="s">
        <v>42</v>
      </c>
      <c r="AC13" s="50" t="s">
        <v>42</v>
      </c>
      <c r="AD13" s="50" t="s">
        <v>42</v>
      </c>
      <c r="AE13" s="50" t="s">
        <v>42</v>
      </c>
      <c r="AF13" s="50" t="str">
        <f t="shared" si="4"/>
        <v>WO</v>
      </c>
      <c r="AG13" s="50" t="s">
        <v>42</v>
      </c>
      <c r="AH13" s="50" t="s">
        <v>42</v>
      </c>
      <c r="AI13" s="50" t="s">
        <v>42</v>
      </c>
      <c r="AJ13" s="50" t="s">
        <v>42</v>
      </c>
      <c r="AK13" s="50" t="s">
        <v>42</v>
      </c>
      <c r="AL13" s="50" t="s">
        <v>42</v>
      </c>
      <c r="AM13" s="51" t="str">
        <f t="shared" si="4"/>
        <v>WO</v>
      </c>
      <c r="AN13" s="39"/>
      <c r="AO13" s="28">
        <v>7</v>
      </c>
      <c r="AP13" s="21">
        <v>1007</v>
      </c>
      <c r="AQ13" s="33" t="str">
        <f t="shared" si="5"/>
        <v>November</v>
      </c>
      <c r="AR13" s="21" t="s">
        <v>9</v>
      </c>
      <c r="AS13" s="29">
        <f t="shared" si="6"/>
        <v>23</v>
      </c>
      <c r="AT13" s="29">
        <f t="shared" si="7"/>
        <v>0</v>
      </c>
      <c r="AU13" s="29">
        <f t="shared" si="8"/>
        <v>2</v>
      </c>
      <c r="AV13" s="29">
        <f t="shared" si="9"/>
        <v>5</v>
      </c>
      <c r="AW13" s="30">
        <f t="shared" si="10"/>
        <v>30</v>
      </c>
      <c r="AX13" s="29">
        <f>NOVReport[[#This Row],[Days]]-NOVReport[[#This Row],[Adsent]]</f>
        <v>30</v>
      </c>
      <c r="AY13" s="31">
        <v>62000</v>
      </c>
      <c r="AZ13" s="32">
        <f>NOVReport[[#This Row],[Salary]]/NOVReport[[#This Row],[Days]]</f>
        <v>2066.6666666666665</v>
      </c>
      <c r="BA13" s="31">
        <f>NOVReport[[#This Row],[Perday salary]]*NOVReport[[#This Row],[Adsent]]</f>
        <v>0</v>
      </c>
      <c r="BB13" s="31">
        <f>NOVReport[[#This Row],[Salary]]-NOVReport[[#This Row],[Detuction ]]</f>
        <v>62000</v>
      </c>
      <c r="BC13" s="29"/>
      <c r="BD13" s="39"/>
      <c r="BE13" s="37"/>
      <c r="BF13" s="37"/>
      <c r="BG13" s="37"/>
      <c r="BH13" s="37"/>
      <c r="BI13" s="37"/>
      <c r="BJ13" s="37"/>
    </row>
    <row r="14" spans="4:67" x14ac:dyDescent="0.3">
      <c r="D14" s="37"/>
      <c r="E14" s="41"/>
      <c r="F14" s="20">
        <v>8</v>
      </c>
      <c r="G14" s="21">
        <v>1008</v>
      </c>
      <c r="H14" s="21" t="s">
        <v>10</v>
      </c>
      <c r="I14" s="20">
        <f t="shared" si="3"/>
        <v>5</v>
      </c>
      <c r="J14" s="50" t="s">
        <v>42</v>
      </c>
      <c r="K14" s="50" t="str">
        <f t="shared" si="4"/>
        <v>WO</v>
      </c>
      <c r="L14" s="50" t="s">
        <v>42</v>
      </c>
      <c r="M14" s="50" t="s">
        <v>42</v>
      </c>
      <c r="N14" s="50" t="s">
        <v>44</v>
      </c>
      <c r="O14" s="50" t="s">
        <v>42</v>
      </c>
      <c r="P14" s="50" t="s">
        <v>42</v>
      </c>
      <c r="Q14" s="50" t="s">
        <v>42</v>
      </c>
      <c r="R14" s="50" t="str">
        <f t="shared" si="4"/>
        <v>WO</v>
      </c>
      <c r="S14" s="50" t="s">
        <v>42</v>
      </c>
      <c r="T14" s="50" t="s">
        <v>42</v>
      </c>
      <c r="U14" s="50" t="s">
        <v>42</v>
      </c>
      <c r="V14" s="50" t="s">
        <v>42</v>
      </c>
      <c r="W14" s="50" t="s">
        <v>44</v>
      </c>
      <c r="X14" s="50" t="s">
        <v>42</v>
      </c>
      <c r="Y14" s="50" t="str">
        <f t="shared" si="4"/>
        <v>WO</v>
      </c>
      <c r="Z14" s="50" t="s">
        <v>42</v>
      </c>
      <c r="AA14" s="50" t="s">
        <v>42</v>
      </c>
      <c r="AB14" s="50" t="s">
        <v>42</v>
      </c>
      <c r="AC14" s="50" t="s">
        <v>42</v>
      </c>
      <c r="AD14" s="50" t="s">
        <v>42</v>
      </c>
      <c r="AE14" s="50" t="s">
        <v>42</v>
      </c>
      <c r="AF14" s="50" t="str">
        <f t="shared" si="4"/>
        <v>WO</v>
      </c>
      <c r="AG14" s="50" t="s">
        <v>42</v>
      </c>
      <c r="AH14" s="50" t="s">
        <v>42</v>
      </c>
      <c r="AI14" s="50" t="s">
        <v>42</v>
      </c>
      <c r="AJ14" s="50" t="s">
        <v>42</v>
      </c>
      <c r="AK14" s="50" t="s">
        <v>42</v>
      </c>
      <c r="AL14" s="50" t="s">
        <v>42</v>
      </c>
      <c r="AM14" s="51" t="str">
        <f t="shared" si="4"/>
        <v>WO</v>
      </c>
      <c r="AN14" s="39"/>
      <c r="AO14" s="28">
        <v>8</v>
      </c>
      <c r="AP14" s="21">
        <v>1008</v>
      </c>
      <c r="AQ14" s="33" t="str">
        <f t="shared" si="5"/>
        <v>November</v>
      </c>
      <c r="AR14" s="21" t="s">
        <v>10</v>
      </c>
      <c r="AS14" s="29">
        <f t="shared" si="6"/>
        <v>23</v>
      </c>
      <c r="AT14" s="29">
        <f t="shared" si="7"/>
        <v>0</v>
      </c>
      <c r="AU14" s="29">
        <f t="shared" si="8"/>
        <v>2</v>
      </c>
      <c r="AV14" s="29">
        <f t="shared" si="9"/>
        <v>5</v>
      </c>
      <c r="AW14" s="30">
        <f t="shared" si="10"/>
        <v>30</v>
      </c>
      <c r="AX14" s="29">
        <f>NOVReport[[#This Row],[Days]]-NOVReport[[#This Row],[Adsent]]</f>
        <v>30</v>
      </c>
      <c r="AY14" s="31">
        <v>50000</v>
      </c>
      <c r="AZ14" s="32">
        <f>NOVReport[[#This Row],[Salary]]/NOVReport[[#This Row],[Days]]</f>
        <v>1666.6666666666667</v>
      </c>
      <c r="BA14" s="31">
        <f>NOVReport[[#This Row],[Perday salary]]*NOVReport[[#This Row],[Adsent]]</f>
        <v>0</v>
      </c>
      <c r="BB14" s="31">
        <f>NOVReport[[#This Row],[Salary]]-NOVReport[[#This Row],[Detuction ]]</f>
        <v>50000</v>
      </c>
      <c r="BC14" s="29"/>
      <c r="BD14" s="39"/>
      <c r="BE14" s="37"/>
      <c r="BF14" s="37"/>
      <c r="BG14" s="37"/>
      <c r="BH14" s="37"/>
      <c r="BI14" s="37"/>
      <c r="BJ14" s="37"/>
    </row>
    <row r="15" spans="4:67" x14ac:dyDescent="0.3">
      <c r="D15" s="37"/>
      <c r="E15" s="41"/>
      <c r="F15" s="20">
        <v>9</v>
      </c>
      <c r="G15" s="21">
        <v>1009</v>
      </c>
      <c r="H15" s="21" t="s">
        <v>11</v>
      </c>
      <c r="I15" s="20">
        <f t="shared" si="3"/>
        <v>5</v>
      </c>
      <c r="J15" s="50" t="s">
        <v>42</v>
      </c>
      <c r="K15" s="50" t="str">
        <f t="shared" si="4"/>
        <v>WO</v>
      </c>
      <c r="L15" s="50" t="s">
        <v>42</v>
      </c>
      <c r="M15" s="50" t="s">
        <v>42</v>
      </c>
      <c r="N15" s="50" t="s">
        <v>44</v>
      </c>
      <c r="O15" s="50" t="s">
        <v>42</v>
      </c>
      <c r="P15" s="50" t="s">
        <v>42</v>
      </c>
      <c r="Q15" s="50" t="s">
        <v>42</v>
      </c>
      <c r="R15" s="50" t="str">
        <f t="shared" si="4"/>
        <v>WO</v>
      </c>
      <c r="S15" s="50" t="s">
        <v>42</v>
      </c>
      <c r="T15" s="50" t="s">
        <v>42</v>
      </c>
      <c r="U15" s="50" t="s">
        <v>42</v>
      </c>
      <c r="V15" s="50" t="s">
        <v>42</v>
      </c>
      <c r="W15" s="50" t="s">
        <v>44</v>
      </c>
      <c r="X15" s="50" t="s">
        <v>42</v>
      </c>
      <c r="Y15" s="50" t="str">
        <f t="shared" si="4"/>
        <v>WO</v>
      </c>
      <c r="Z15" s="50" t="s">
        <v>42</v>
      </c>
      <c r="AA15" s="50" t="s">
        <v>42</v>
      </c>
      <c r="AB15" s="50" t="s">
        <v>42</v>
      </c>
      <c r="AC15" s="50" t="s">
        <v>42</v>
      </c>
      <c r="AD15" s="50" t="s">
        <v>42</v>
      </c>
      <c r="AE15" s="50" t="s">
        <v>42</v>
      </c>
      <c r="AF15" s="50" t="str">
        <f t="shared" ref="AF15:AM26" si="11">IF(AF$5="Sun","WO","")</f>
        <v>WO</v>
      </c>
      <c r="AG15" s="50" t="s">
        <v>42</v>
      </c>
      <c r="AH15" s="50" t="s">
        <v>42</v>
      </c>
      <c r="AI15" s="50" t="s">
        <v>42</v>
      </c>
      <c r="AJ15" s="50" t="s">
        <v>42</v>
      </c>
      <c r="AK15" s="50" t="s">
        <v>42</v>
      </c>
      <c r="AL15" s="50" t="s">
        <v>42</v>
      </c>
      <c r="AM15" s="51" t="str">
        <f t="shared" si="11"/>
        <v>WO</v>
      </c>
      <c r="AN15" s="39"/>
      <c r="AO15" s="28">
        <v>9</v>
      </c>
      <c r="AP15" s="21">
        <v>1009</v>
      </c>
      <c r="AQ15" s="33" t="str">
        <f t="shared" si="5"/>
        <v>November</v>
      </c>
      <c r="AR15" s="21" t="s">
        <v>11</v>
      </c>
      <c r="AS15" s="29">
        <f t="shared" si="6"/>
        <v>23</v>
      </c>
      <c r="AT15" s="29">
        <f t="shared" si="7"/>
        <v>0</v>
      </c>
      <c r="AU15" s="29">
        <f t="shared" si="8"/>
        <v>2</v>
      </c>
      <c r="AV15" s="29">
        <f t="shared" si="9"/>
        <v>5</v>
      </c>
      <c r="AW15" s="30">
        <f t="shared" si="10"/>
        <v>30</v>
      </c>
      <c r="AX15" s="29">
        <f>NOVReport[[#This Row],[Days]]-NOVReport[[#This Row],[Adsent]]</f>
        <v>30</v>
      </c>
      <c r="AY15" s="31">
        <v>25000</v>
      </c>
      <c r="AZ15" s="32">
        <f>NOVReport[[#This Row],[Salary]]/NOVReport[[#This Row],[Days]]</f>
        <v>833.33333333333337</v>
      </c>
      <c r="BA15" s="31">
        <f>NOVReport[[#This Row],[Perday salary]]*NOVReport[[#This Row],[Adsent]]</f>
        <v>0</v>
      </c>
      <c r="BB15" s="31">
        <f>NOVReport[[#This Row],[Salary]]-NOVReport[[#This Row],[Detuction ]]</f>
        <v>25000</v>
      </c>
      <c r="BC15" s="29"/>
      <c r="BD15" s="39"/>
      <c r="BE15" s="37"/>
      <c r="BF15" s="37"/>
      <c r="BG15" s="37"/>
      <c r="BH15" s="37"/>
      <c r="BI15" s="37"/>
      <c r="BJ15" s="37"/>
    </row>
    <row r="16" spans="4:67" x14ac:dyDescent="0.3">
      <c r="D16" s="37"/>
      <c r="E16" s="41"/>
      <c r="F16" s="20">
        <v>10</v>
      </c>
      <c r="G16" s="21">
        <v>1010</v>
      </c>
      <c r="H16" s="21" t="s">
        <v>12</v>
      </c>
      <c r="I16" s="20">
        <f t="shared" si="3"/>
        <v>5</v>
      </c>
      <c r="J16" s="50" t="s">
        <v>42</v>
      </c>
      <c r="K16" s="50" t="str">
        <f t="shared" ref="K16:Y26" si="12">IF(K$5="Sun","WO","")</f>
        <v>WO</v>
      </c>
      <c r="L16" s="50" t="s">
        <v>42</v>
      </c>
      <c r="M16" s="50" t="s">
        <v>42</v>
      </c>
      <c r="N16" s="50" t="s">
        <v>44</v>
      </c>
      <c r="O16" s="50" t="s">
        <v>43</v>
      </c>
      <c r="P16" s="50" t="s">
        <v>42</v>
      </c>
      <c r="Q16" s="50" t="s">
        <v>42</v>
      </c>
      <c r="R16" s="50" t="str">
        <f t="shared" si="12"/>
        <v>WO</v>
      </c>
      <c r="S16" s="50" t="s">
        <v>42</v>
      </c>
      <c r="T16" s="50" t="s">
        <v>42</v>
      </c>
      <c r="U16" s="50" t="s">
        <v>42</v>
      </c>
      <c r="V16" s="50" t="s">
        <v>42</v>
      </c>
      <c r="W16" s="50" t="s">
        <v>44</v>
      </c>
      <c r="X16" s="50" t="s">
        <v>42</v>
      </c>
      <c r="Y16" s="50" t="str">
        <f t="shared" si="12"/>
        <v>WO</v>
      </c>
      <c r="Z16" s="50" t="s">
        <v>42</v>
      </c>
      <c r="AA16" s="50" t="s">
        <v>42</v>
      </c>
      <c r="AB16" s="50" t="s">
        <v>43</v>
      </c>
      <c r="AC16" s="50" t="s">
        <v>42</v>
      </c>
      <c r="AD16" s="50" t="s">
        <v>42</v>
      </c>
      <c r="AE16" s="50" t="s">
        <v>42</v>
      </c>
      <c r="AF16" s="50" t="str">
        <f t="shared" si="11"/>
        <v>WO</v>
      </c>
      <c r="AG16" s="50" t="s">
        <v>42</v>
      </c>
      <c r="AH16" s="50" t="s">
        <v>42</v>
      </c>
      <c r="AI16" s="50" t="s">
        <v>42</v>
      </c>
      <c r="AJ16" s="50" t="s">
        <v>42</v>
      </c>
      <c r="AK16" s="50" t="s">
        <v>42</v>
      </c>
      <c r="AL16" s="50" t="s">
        <v>42</v>
      </c>
      <c r="AM16" s="51" t="str">
        <f t="shared" si="11"/>
        <v>WO</v>
      </c>
      <c r="AN16" s="39"/>
      <c r="AO16" s="28">
        <v>10</v>
      </c>
      <c r="AP16" s="21">
        <v>1010</v>
      </c>
      <c r="AQ16" s="33" t="str">
        <f t="shared" si="5"/>
        <v>November</v>
      </c>
      <c r="AR16" s="21" t="s">
        <v>12</v>
      </c>
      <c r="AS16" s="29">
        <f t="shared" si="6"/>
        <v>21</v>
      </c>
      <c r="AT16" s="29">
        <f t="shared" si="7"/>
        <v>2</v>
      </c>
      <c r="AU16" s="29">
        <f t="shared" si="8"/>
        <v>2</v>
      </c>
      <c r="AV16" s="29">
        <f t="shared" si="9"/>
        <v>5</v>
      </c>
      <c r="AW16" s="30">
        <f t="shared" si="10"/>
        <v>30</v>
      </c>
      <c r="AX16" s="29">
        <f>NOVReport[[#This Row],[Days]]-NOVReport[[#This Row],[Adsent]]</f>
        <v>28</v>
      </c>
      <c r="AY16" s="31">
        <v>45000</v>
      </c>
      <c r="AZ16" s="32">
        <f>NOVReport[[#This Row],[Salary]]/NOVReport[[#This Row],[Days]]</f>
        <v>1500</v>
      </c>
      <c r="BA16" s="31">
        <f>NOVReport[[#This Row],[Perday salary]]*NOVReport[[#This Row],[Adsent]]</f>
        <v>3000</v>
      </c>
      <c r="BB16" s="31">
        <f>NOVReport[[#This Row],[Salary]]-NOVReport[[#This Row],[Detuction ]]</f>
        <v>42000</v>
      </c>
      <c r="BC16" s="29"/>
      <c r="BD16" s="39"/>
      <c r="BE16" s="37"/>
      <c r="BF16" s="37"/>
      <c r="BG16" s="37"/>
      <c r="BH16" s="37"/>
      <c r="BI16" s="37"/>
      <c r="BJ16" s="37"/>
    </row>
    <row r="17" spans="1:62" x14ac:dyDescent="0.3">
      <c r="D17" s="37"/>
      <c r="E17" s="41"/>
      <c r="F17" s="20">
        <v>11</v>
      </c>
      <c r="G17" s="21">
        <v>1011</v>
      </c>
      <c r="H17" s="21" t="s">
        <v>13</v>
      </c>
      <c r="I17" s="20">
        <f t="shared" si="3"/>
        <v>5</v>
      </c>
      <c r="J17" s="50" t="s">
        <v>42</v>
      </c>
      <c r="K17" s="50" t="str">
        <f t="shared" si="12"/>
        <v>WO</v>
      </c>
      <c r="L17" s="50" t="s">
        <v>42</v>
      </c>
      <c r="M17" s="50" t="s">
        <v>42</v>
      </c>
      <c r="N17" s="50" t="s">
        <v>44</v>
      </c>
      <c r="O17" s="50" t="s">
        <v>43</v>
      </c>
      <c r="P17" s="50" t="s">
        <v>42</v>
      </c>
      <c r="Q17" s="50" t="s">
        <v>42</v>
      </c>
      <c r="R17" s="50" t="str">
        <f t="shared" si="12"/>
        <v>WO</v>
      </c>
      <c r="S17" s="50" t="s">
        <v>42</v>
      </c>
      <c r="T17" s="50" t="s">
        <v>42</v>
      </c>
      <c r="U17" s="50" t="s">
        <v>42</v>
      </c>
      <c r="V17" s="50" t="s">
        <v>42</v>
      </c>
      <c r="W17" s="50" t="s">
        <v>44</v>
      </c>
      <c r="X17" s="50" t="s">
        <v>42</v>
      </c>
      <c r="Y17" s="50" t="str">
        <f t="shared" si="12"/>
        <v>WO</v>
      </c>
      <c r="Z17" s="50" t="s">
        <v>42</v>
      </c>
      <c r="AA17" s="50" t="s">
        <v>42</v>
      </c>
      <c r="AB17" s="50" t="s">
        <v>42</v>
      </c>
      <c r="AC17" s="50" t="s">
        <v>42</v>
      </c>
      <c r="AD17" s="50" t="s">
        <v>42</v>
      </c>
      <c r="AE17" s="50" t="s">
        <v>42</v>
      </c>
      <c r="AF17" s="50" t="str">
        <f t="shared" si="11"/>
        <v>WO</v>
      </c>
      <c r="AG17" s="50" t="s">
        <v>42</v>
      </c>
      <c r="AH17" s="50" t="s">
        <v>42</v>
      </c>
      <c r="AI17" s="50" t="s">
        <v>42</v>
      </c>
      <c r="AJ17" s="50" t="s">
        <v>43</v>
      </c>
      <c r="AK17" s="50" t="s">
        <v>42</v>
      </c>
      <c r="AL17" s="50" t="s">
        <v>42</v>
      </c>
      <c r="AM17" s="51" t="str">
        <f t="shared" si="11"/>
        <v>WO</v>
      </c>
      <c r="AN17" s="39"/>
      <c r="AO17" s="28">
        <v>11</v>
      </c>
      <c r="AP17" s="21">
        <v>1011</v>
      </c>
      <c r="AQ17" s="33" t="str">
        <f t="shared" si="5"/>
        <v>November</v>
      </c>
      <c r="AR17" s="21" t="s">
        <v>13</v>
      </c>
      <c r="AS17" s="29">
        <f t="shared" si="6"/>
        <v>21</v>
      </c>
      <c r="AT17" s="29">
        <f t="shared" si="7"/>
        <v>2</v>
      </c>
      <c r="AU17" s="29">
        <f t="shared" si="8"/>
        <v>2</v>
      </c>
      <c r="AV17" s="29">
        <f t="shared" si="9"/>
        <v>5</v>
      </c>
      <c r="AW17" s="30">
        <f t="shared" si="10"/>
        <v>30</v>
      </c>
      <c r="AX17" s="29">
        <f>NOVReport[[#This Row],[Days]]-NOVReport[[#This Row],[Adsent]]</f>
        <v>28</v>
      </c>
      <c r="AY17" s="31">
        <v>48000</v>
      </c>
      <c r="AZ17" s="32">
        <f>NOVReport[[#This Row],[Salary]]/NOVReport[[#This Row],[Days]]</f>
        <v>1600</v>
      </c>
      <c r="BA17" s="31">
        <f>NOVReport[[#This Row],[Perday salary]]*NOVReport[[#This Row],[Adsent]]</f>
        <v>3200</v>
      </c>
      <c r="BB17" s="31">
        <f>NOVReport[[#This Row],[Salary]]-NOVReport[[#This Row],[Detuction ]]</f>
        <v>44800</v>
      </c>
      <c r="BC17" s="29"/>
      <c r="BD17" s="39"/>
      <c r="BE17" s="37"/>
      <c r="BF17" s="37"/>
      <c r="BG17" s="37"/>
      <c r="BH17" s="37"/>
      <c r="BI17" s="37"/>
      <c r="BJ17" s="37"/>
    </row>
    <row r="18" spans="1:62" x14ac:dyDescent="0.3">
      <c r="D18" s="37"/>
      <c r="E18" s="41"/>
      <c r="F18" s="20">
        <v>12</v>
      </c>
      <c r="G18" s="21">
        <v>1012</v>
      </c>
      <c r="H18" s="21" t="s">
        <v>14</v>
      </c>
      <c r="I18" s="20">
        <f t="shared" si="3"/>
        <v>5</v>
      </c>
      <c r="J18" s="50" t="s">
        <v>42</v>
      </c>
      <c r="K18" s="50" t="str">
        <f t="shared" si="12"/>
        <v>WO</v>
      </c>
      <c r="L18" s="50" t="s">
        <v>42</v>
      </c>
      <c r="M18" s="50" t="s">
        <v>42</v>
      </c>
      <c r="N18" s="50" t="s">
        <v>44</v>
      </c>
      <c r="O18" s="50" t="s">
        <v>42</v>
      </c>
      <c r="P18" s="50" t="s">
        <v>42</v>
      </c>
      <c r="Q18" s="50" t="s">
        <v>42</v>
      </c>
      <c r="R18" s="50" t="str">
        <f t="shared" si="12"/>
        <v>WO</v>
      </c>
      <c r="S18" s="50" t="s">
        <v>42</v>
      </c>
      <c r="T18" s="50" t="s">
        <v>42</v>
      </c>
      <c r="U18" s="50" t="s">
        <v>42</v>
      </c>
      <c r="V18" s="50" t="s">
        <v>42</v>
      </c>
      <c r="W18" s="50" t="s">
        <v>44</v>
      </c>
      <c r="X18" s="50" t="s">
        <v>42</v>
      </c>
      <c r="Y18" s="50" t="str">
        <f t="shared" si="12"/>
        <v>WO</v>
      </c>
      <c r="Z18" s="50" t="s">
        <v>42</v>
      </c>
      <c r="AA18" s="50" t="s">
        <v>42</v>
      </c>
      <c r="AB18" s="50" t="s">
        <v>42</v>
      </c>
      <c r="AC18" s="50" t="s">
        <v>42</v>
      </c>
      <c r="AD18" s="50" t="s">
        <v>42</v>
      </c>
      <c r="AE18" s="50" t="s">
        <v>42</v>
      </c>
      <c r="AF18" s="50" t="str">
        <f t="shared" si="11"/>
        <v>WO</v>
      </c>
      <c r="AG18" s="50" t="s">
        <v>42</v>
      </c>
      <c r="AH18" s="50" t="s">
        <v>42</v>
      </c>
      <c r="AI18" s="50" t="s">
        <v>42</v>
      </c>
      <c r="AJ18" s="50" t="s">
        <v>42</v>
      </c>
      <c r="AK18" s="50" t="s">
        <v>42</v>
      </c>
      <c r="AL18" s="50" t="s">
        <v>42</v>
      </c>
      <c r="AM18" s="51" t="str">
        <f t="shared" si="11"/>
        <v>WO</v>
      </c>
      <c r="AN18" s="39"/>
      <c r="AO18" s="28">
        <v>12</v>
      </c>
      <c r="AP18" s="21">
        <v>1012</v>
      </c>
      <c r="AQ18" s="33" t="str">
        <f t="shared" si="5"/>
        <v>November</v>
      </c>
      <c r="AR18" s="21" t="s">
        <v>14</v>
      </c>
      <c r="AS18" s="29">
        <f t="shared" si="6"/>
        <v>23</v>
      </c>
      <c r="AT18" s="29">
        <f t="shared" si="7"/>
        <v>0</v>
      </c>
      <c r="AU18" s="29">
        <f t="shared" si="8"/>
        <v>2</v>
      </c>
      <c r="AV18" s="29">
        <f t="shared" si="9"/>
        <v>5</v>
      </c>
      <c r="AW18" s="30">
        <f t="shared" si="10"/>
        <v>30</v>
      </c>
      <c r="AX18" s="29">
        <f>NOVReport[[#This Row],[Days]]-NOVReport[[#This Row],[Adsent]]</f>
        <v>30</v>
      </c>
      <c r="AY18" s="31">
        <v>52000</v>
      </c>
      <c r="AZ18" s="32">
        <f>NOVReport[[#This Row],[Salary]]/NOVReport[[#This Row],[Days]]</f>
        <v>1733.3333333333333</v>
      </c>
      <c r="BA18" s="31">
        <f>NOVReport[[#This Row],[Perday salary]]*NOVReport[[#This Row],[Adsent]]</f>
        <v>0</v>
      </c>
      <c r="BB18" s="31">
        <f>NOVReport[[#This Row],[Salary]]-NOVReport[[#This Row],[Detuction ]]</f>
        <v>52000</v>
      </c>
      <c r="BC18" s="29"/>
      <c r="BD18" s="39"/>
      <c r="BE18" s="37"/>
      <c r="BF18" s="37"/>
      <c r="BG18" s="37"/>
      <c r="BH18" s="37"/>
      <c r="BI18" s="37"/>
      <c r="BJ18" s="37"/>
    </row>
    <row r="19" spans="1:62" x14ac:dyDescent="0.3">
      <c r="D19" s="37"/>
      <c r="E19" s="41"/>
      <c r="F19" s="20">
        <v>13</v>
      </c>
      <c r="G19" s="21">
        <v>1013</v>
      </c>
      <c r="H19" s="21" t="s">
        <v>15</v>
      </c>
      <c r="I19" s="20">
        <f t="shared" si="3"/>
        <v>5</v>
      </c>
      <c r="J19" s="50" t="s">
        <v>42</v>
      </c>
      <c r="K19" s="50" t="str">
        <f t="shared" si="12"/>
        <v>WO</v>
      </c>
      <c r="L19" s="50" t="s">
        <v>42</v>
      </c>
      <c r="M19" s="50" t="s">
        <v>42</v>
      </c>
      <c r="N19" s="50" t="s">
        <v>44</v>
      </c>
      <c r="O19" s="50" t="s">
        <v>42</v>
      </c>
      <c r="P19" s="50" t="s">
        <v>42</v>
      </c>
      <c r="Q19" s="50" t="s">
        <v>42</v>
      </c>
      <c r="R19" s="50" t="str">
        <f t="shared" si="12"/>
        <v>WO</v>
      </c>
      <c r="S19" s="50" t="s">
        <v>42</v>
      </c>
      <c r="T19" s="50" t="s">
        <v>42</v>
      </c>
      <c r="U19" s="50" t="s">
        <v>42</v>
      </c>
      <c r="V19" s="50" t="s">
        <v>42</v>
      </c>
      <c r="W19" s="50" t="s">
        <v>44</v>
      </c>
      <c r="X19" s="50" t="s">
        <v>42</v>
      </c>
      <c r="Y19" s="50" t="str">
        <f t="shared" si="12"/>
        <v>WO</v>
      </c>
      <c r="Z19" s="50" t="s">
        <v>42</v>
      </c>
      <c r="AA19" s="50" t="s">
        <v>42</v>
      </c>
      <c r="AB19" s="50" t="s">
        <v>43</v>
      </c>
      <c r="AC19" s="50" t="s">
        <v>42</v>
      </c>
      <c r="AD19" s="50" t="s">
        <v>42</v>
      </c>
      <c r="AE19" s="50" t="s">
        <v>42</v>
      </c>
      <c r="AF19" s="50" t="str">
        <f t="shared" si="11"/>
        <v>WO</v>
      </c>
      <c r="AG19" s="50" t="s">
        <v>42</v>
      </c>
      <c r="AH19" s="50" t="s">
        <v>42</v>
      </c>
      <c r="AI19" s="50" t="s">
        <v>42</v>
      </c>
      <c r="AJ19" s="50" t="s">
        <v>42</v>
      </c>
      <c r="AK19" s="50" t="s">
        <v>42</v>
      </c>
      <c r="AL19" s="50" t="s">
        <v>42</v>
      </c>
      <c r="AM19" s="51" t="str">
        <f t="shared" si="11"/>
        <v>WO</v>
      </c>
      <c r="AN19" s="39"/>
      <c r="AO19" s="28">
        <v>13</v>
      </c>
      <c r="AP19" s="21">
        <v>1013</v>
      </c>
      <c r="AQ19" s="33" t="str">
        <f t="shared" si="5"/>
        <v>November</v>
      </c>
      <c r="AR19" s="21" t="s">
        <v>15</v>
      </c>
      <c r="AS19" s="29">
        <f t="shared" si="6"/>
        <v>22</v>
      </c>
      <c r="AT19" s="29">
        <f t="shared" si="7"/>
        <v>1</v>
      </c>
      <c r="AU19" s="29">
        <f t="shared" si="8"/>
        <v>2</v>
      </c>
      <c r="AV19" s="29">
        <f t="shared" si="9"/>
        <v>5</v>
      </c>
      <c r="AW19" s="30">
        <f t="shared" si="10"/>
        <v>30</v>
      </c>
      <c r="AX19" s="29">
        <f>NOVReport[[#This Row],[Days]]-NOVReport[[#This Row],[Adsent]]</f>
        <v>29</v>
      </c>
      <c r="AY19" s="31">
        <v>42000</v>
      </c>
      <c r="AZ19" s="32">
        <f>NOVReport[[#This Row],[Salary]]/NOVReport[[#This Row],[Days]]</f>
        <v>1400</v>
      </c>
      <c r="BA19" s="31">
        <f>NOVReport[[#This Row],[Perday salary]]*NOVReport[[#This Row],[Adsent]]</f>
        <v>1400</v>
      </c>
      <c r="BB19" s="31">
        <f>NOVReport[[#This Row],[Salary]]-NOVReport[[#This Row],[Detuction ]]</f>
        <v>40600</v>
      </c>
      <c r="BC19" s="29"/>
      <c r="BD19" s="39"/>
      <c r="BE19" s="37"/>
      <c r="BF19" s="37"/>
      <c r="BG19" s="37"/>
      <c r="BH19" s="37"/>
      <c r="BI19" s="37"/>
      <c r="BJ19" s="37"/>
    </row>
    <row r="20" spans="1:62" x14ac:dyDescent="0.3">
      <c r="D20" s="37"/>
      <c r="E20" s="41"/>
      <c r="F20" s="20">
        <v>14</v>
      </c>
      <c r="G20" s="21">
        <v>1014</v>
      </c>
      <c r="H20" s="21" t="s">
        <v>16</v>
      </c>
      <c r="I20" s="20">
        <f t="shared" si="3"/>
        <v>5</v>
      </c>
      <c r="J20" s="50" t="s">
        <v>42</v>
      </c>
      <c r="K20" s="50" t="str">
        <f t="shared" si="12"/>
        <v>WO</v>
      </c>
      <c r="L20" s="50" t="s">
        <v>42</v>
      </c>
      <c r="M20" s="50" t="s">
        <v>42</v>
      </c>
      <c r="N20" s="50" t="s">
        <v>44</v>
      </c>
      <c r="O20" s="50" t="s">
        <v>42</v>
      </c>
      <c r="P20" s="50" t="s">
        <v>42</v>
      </c>
      <c r="Q20" s="50" t="s">
        <v>42</v>
      </c>
      <c r="R20" s="50" t="str">
        <f t="shared" si="12"/>
        <v>WO</v>
      </c>
      <c r="S20" s="50" t="s">
        <v>42</v>
      </c>
      <c r="T20" s="50" t="s">
        <v>42</v>
      </c>
      <c r="U20" s="50" t="s">
        <v>42</v>
      </c>
      <c r="V20" s="50" t="s">
        <v>42</v>
      </c>
      <c r="W20" s="50" t="s">
        <v>44</v>
      </c>
      <c r="X20" s="50" t="s">
        <v>42</v>
      </c>
      <c r="Y20" s="50" t="str">
        <f t="shared" si="12"/>
        <v>WO</v>
      </c>
      <c r="Z20" s="50" t="s">
        <v>42</v>
      </c>
      <c r="AA20" s="50" t="s">
        <v>42</v>
      </c>
      <c r="AB20" s="50" t="s">
        <v>43</v>
      </c>
      <c r="AC20" s="50" t="s">
        <v>43</v>
      </c>
      <c r="AD20" s="50" t="s">
        <v>42</v>
      </c>
      <c r="AE20" s="50" t="s">
        <v>42</v>
      </c>
      <c r="AF20" s="50" t="str">
        <f t="shared" si="11"/>
        <v>WO</v>
      </c>
      <c r="AG20" s="50" t="s">
        <v>42</v>
      </c>
      <c r="AH20" s="50" t="s">
        <v>42</v>
      </c>
      <c r="AI20" s="50" t="s">
        <v>42</v>
      </c>
      <c r="AJ20" s="50" t="s">
        <v>43</v>
      </c>
      <c r="AK20" s="50" t="s">
        <v>42</v>
      </c>
      <c r="AL20" s="50" t="s">
        <v>42</v>
      </c>
      <c r="AM20" s="51" t="str">
        <f t="shared" si="11"/>
        <v>WO</v>
      </c>
      <c r="AN20" s="39"/>
      <c r="AO20" s="28">
        <v>14</v>
      </c>
      <c r="AP20" s="21">
        <v>1014</v>
      </c>
      <c r="AQ20" s="33" t="str">
        <f t="shared" si="5"/>
        <v>November</v>
      </c>
      <c r="AR20" s="21" t="s">
        <v>16</v>
      </c>
      <c r="AS20" s="29">
        <f t="shared" si="6"/>
        <v>20</v>
      </c>
      <c r="AT20" s="29">
        <f t="shared" si="7"/>
        <v>3</v>
      </c>
      <c r="AU20" s="29">
        <f t="shared" si="8"/>
        <v>2</v>
      </c>
      <c r="AV20" s="29">
        <f t="shared" si="9"/>
        <v>5</v>
      </c>
      <c r="AW20" s="30">
        <f t="shared" si="10"/>
        <v>30</v>
      </c>
      <c r="AX20" s="29">
        <f>NOVReport[[#This Row],[Days]]-NOVReport[[#This Row],[Adsent]]</f>
        <v>27</v>
      </c>
      <c r="AY20" s="31">
        <v>15000</v>
      </c>
      <c r="AZ20" s="32">
        <f>NOVReport[[#This Row],[Salary]]/NOVReport[[#This Row],[Days]]</f>
        <v>500</v>
      </c>
      <c r="BA20" s="31">
        <f>NOVReport[[#This Row],[Perday salary]]*NOVReport[[#This Row],[Adsent]]</f>
        <v>1500</v>
      </c>
      <c r="BB20" s="31">
        <f>NOVReport[[#This Row],[Salary]]-NOVReport[[#This Row],[Detuction ]]</f>
        <v>13500</v>
      </c>
      <c r="BC20" s="29"/>
      <c r="BD20" s="39"/>
      <c r="BE20" s="37"/>
      <c r="BF20" s="37"/>
      <c r="BG20" s="37"/>
      <c r="BH20" s="37"/>
      <c r="BI20" s="37"/>
      <c r="BJ20" s="37"/>
    </row>
    <row r="21" spans="1:62" x14ac:dyDescent="0.3">
      <c r="D21" s="37"/>
      <c r="E21" s="41"/>
      <c r="F21" s="20">
        <v>15</v>
      </c>
      <c r="G21" s="21">
        <v>1015</v>
      </c>
      <c r="H21" s="21" t="s">
        <v>17</v>
      </c>
      <c r="I21" s="20">
        <f t="shared" si="3"/>
        <v>5</v>
      </c>
      <c r="J21" s="50" t="s">
        <v>42</v>
      </c>
      <c r="K21" s="50" t="str">
        <f t="shared" si="12"/>
        <v>WO</v>
      </c>
      <c r="L21" s="50" t="s">
        <v>42</v>
      </c>
      <c r="M21" s="50" t="s">
        <v>42</v>
      </c>
      <c r="N21" s="50" t="s">
        <v>44</v>
      </c>
      <c r="O21" s="50" t="s">
        <v>42</v>
      </c>
      <c r="P21" s="50" t="s">
        <v>42</v>
      </c>
      <c r="Q21" s="50" t="s">
        <v>42</v>
      </c>
      <c r="R21" s="50" t="str">
        <f t="shared" si="12"/>
        <v>WO</v>
      </c>
      <c r="S21" s="50" t="s">
        <v>42</v>
      </c>
      <c r="T21" s="50" t="s">
        <v>42</v>
      </c>
      <c r="U21" s="50" t="s">
        <v>42</v>
      </c>
      <c r="V21" s="50" t="s">
        <v>42</v>
      </c>
      <c r="W21" s="50" t="s">
        <v>44</v>
      </c>
      <c r="X21" s="50" t="s">
        <v>42</v>
      </c>
      <c r="Y21" s="50" t="str">
        <f t="shared" si="12"/>
        <v>WO</v>
      </c>
      <c r="Z21" s="50" t="s">
        <v>42</v>
      </c>
      <c r="AA21" s="50" t="s">
        <v>42</v>
      </c>
      <c r="AB21" s="50" t="s">
        <v>42</v>
      </c>
      <c r="AC21" s="50" t="s">
        <v>42</v>
      </c>
      <c r="AD21" s="50" t="s">
        <v>42</v>
      </c>
      <c r="AE21" s="50" t="s">
        <v>42</v>
      </c>
      <c r="AF21" s="50" t="str">
        <f t="shared" si="11"/>
        <v>WO</v>
      </c>
      <c r="AG21" s="50" t="s">
        <v>42</v>
      </c>
      <c r="AH21" s="50" t="s">
        <v>42</v>
      </c>
      <c r="AI21" s="50" t="s">
        <v>42</v>
      </c>
      <c r="AJ21" s="50" t="s">
        <v>42</v>
      </c>
      <c r="AK21" s="50" t="s">
        <v>42</v>
      </c>
      <c r="AL21" s="50" t="s">
        <v>42</v>
      </c>
      <c r="AM21" s="51" t="str">
        <f t="shared" si="11"/>
        <v>WO</v>
      </c>
      <c r="AN21" s="39"/>
      <c r="AO21" s="28">
        <v>15</v>
      </c>
      <c r="AP21" s="21">
        <v>1015</v>
      </c>
      <c r="AQ21" s="33" t="str">
        <f t="shared" si="5"/>
        <v>November</v>
      </c>
      <c r="AR21" s="21" t="s">
        <v>17</v>
      </c>
      <c r="AS21" s="29">
        <f t="shared" si="6"/>
        <v>23</v>
      </c>
      <c r="AT21" s="29">
        <f t="shared" si="7"/>
        <v>0</v>
      </c>
      <c r="AU21" s="29">
        <f t="shared" si="8"/>
        <v>2</v>
      </c>
      <c r="AV21" s="29">
        <f t="shared" si="9"/>
        <v>5</v>
      </c>
      <c r="AW21" s="30">
        <f t="shared" si="10"/>
        <v>30</v>
      </c>
      <c r="AX21" s="29">
        <f>NOVReport[[#This Row],[Days]]-NOVReport[[#This Row],[Adsent]]</f>
        <v>30</v>
      </c>
      <c r="AY21" s="31">
        <v>46000</v>
      </c>
      <c r="AZ21" s="32">
        <f>NOVReport[[#This Row],[Salary]]/NOVReport[[#This Row],[Days]]</f>
        <v>1533.3333333333333</v>
      </c>
      <c r="BA21" s="31">
        <f>NOVReport[[#This Row],[Perday salary]]*NOVReport[[#This Row],[Adsent]]</f>
        <v>0</v>
      </c>
      <c r="BB21" s="31">
        <f>NOVReport[[#This Row],[Salary]]-NOVReport[[#This Row],[Detuction ]]</f>
        <v>46000</v>
      </c>
      <c r="BC21" s="29"/>
      <c r="BD21" s="39"/>
      <c r="BE21" s="37"/>
      <c r="BF21" s="37"/>
      <c r="BG21" s="37"/>
      <c r="BH21" s="37"/>
      <c r="BI21" s="37"/>
      <c r="BJ21" s="37"/>
    </row>
    <row r="22" spans="1:62" x14ac:dyDescent="0.3">
      <c r="D22" s="37"/>
      <c r="E22" s="41"/>
      <c r="F22" s="20">
        <v>16</v>
      </c>
      <c r="G22" s="21">
        <v>1016</v>
      </c>
      <c r="H22" s="21" t="s">
        <v>18</v>
      </c>
      <c r="I22" s="20">
        <f t="shared" si="3"/>
        <v>5</v>
      </c>
      <c r="J22" s="50" t="s">
        <v>42</v>
      </c>
      <c r="K22" s="50" t="str">
        <f t="shared" si="12"/>
        <v>WO</v>
      </c>
      <c r="L22" s="50" t="s">
        <v>42</v>
      </c>
      <c r="M22" s="50" t="s">
        <v>42</v>
      </c>
      <c r="N22" s="50" t="s">
        <v>44</v>
      </c>
      <c r="O22" s="50" t="s">
        <v>42</v>
      </c>
      <c r="P22" s="50" t="s">
        <v>42</v>
      </c>
      <c r="Q22" s="50" t="s">
        <v>42</v>
      </c>
      <c r="R22" s="50" t="str">
        <f t="shared" si="12"/>
        <v>WO</v>
      </c>
      <c r="S22" s="50" t="s">
        <v>42</v>
      </c>
      <c r="T22" s="50" t="s">
        <v>42</v>
      </c>
      <c r="U22" s="50" t="s">
        <v>42</v>
      </c>
      <c r="V22" s="50" t="s">
        <v>42</v>
      </c>
      <c r="W22" s="50" t="s">
        <v>44</v>
      </c>
      <c r="X22" s="50" t="s">
        <v>42</v>
      </c>
      <c r="Y22" s="50" t="str">
        <f t="shared" si="12"/>
        <v>WO</v>
      </c>
      <c r="Z22" s="50" t="s">
        <v>42</v>
      </c>
      <c r="AA22" s="50" t="s">
        <v>42</v>
      </c>
      <c r="AB22" s="50" t="s">
        <v>42</v>
      </c>
      <c r="AC22" s="50" t="s">
        <v>42</v>
      </c>
      <c r="AD22" s="50" t="s">
        <v>42</v>
      </c>
      <c r="AE22" s="50" t="s">
        <v>42</v>
      </c>
      <c r="AF22" s="50" t="str">
        <f t="shared" si="11"/>
        <v>WO</v>
      </c>
      <c r="AG22" s="50" t="s">
        <v>42</v>
      </c>
      <c r="AH22" s="50" t="s">
        <v>42</v>
      </c>
      <c r="AI22" s="50" t="s">
        <v>42</v>
      </c>
      <c r="AJ22" s="50" t="s">
        <v>42</v>
      </c>
      <c r="AK22" s="50" t="s">
        <v>42</v>
      </c>
      <c r="AL22" s="50" t="s">
        <v>42</v>
      </c>
      <c r="AM22" s="51" t="str">
        <f t="shared" si="11"/>
        <v>WO</v>
      </c>
      <c r="AN22" s="39"/>
      <c r="AO22" s="28">
        <v>16</v>
      </c>
      <c r="AP22" s="21">
        <v>1016</v>
      </c>
      <c r="AQ22" s="33" t="str">
        <f t="shared" si="5"/>
        <v>November</v>
      </c>
      <c r="AR22" s="21" t="s">
        <v>18</v>
      </c>
      <c r="AS22" s="29">
        <f t="shared" si="6"/>
        <v>23</v>
      </c>
      <c r="AT22" s="29">
        <f t="shared" si="7"/>
        <v>0</v>
      </c>
      <c r="AU22" s="29">
        <f t="shared" si="8"/>
        <v>2</v>
      </c>
      <c r="AV22" s="29">
        <f t="shared" si="9"/>
        <v>5</v>
      </c>
      <c r="AW22" s="30">
        <f t="shared" si="10"/>
        <v>30</v>
      </c>
      <c r="AX22" s="29">
        <f>NOVReport[[#This Row],[Days]]-NOVReport[[#This Row],[Adsent]]</f>
        <v>30</v>
      </c>
      <c r="AY22" s="31">
        <v>52000</v>
      </c>
      <c r="AZ22" s="32">
        <f>NOVReport[[#This Row],[Salary]]/NOVReport[[#This Row],[Days]]</f>
        <v>1733.3333333333333</v>
      </c>
      <c r="BA22" s="31">
        <f>NOVReport[[#This Row],[Perday salary]]*NOVReport[[#This Row],[Adsent]]</f>
        <v>0</v>
      </c>
      <c r="BB22" s="31">
        <f>NOVReport[[#This Row],[Salary]]-NOVReport[[#This Row],[Detuction ]]</f>
        <v>52000</v>
      </c>
      <c r="BC22" s="29"/>
      <c r="BD22" s="39"/>
      <c r="BE22" s="37"/>
      <c r="BF22" s="37"/>
      <c r="BG22" s="37"/>
      <c r="BH22" s="37"/>
      <c r="BI22" s="37"/>
      <c r="BJ22" s="37"/>
    </row>
    <row r="23" spans="1:62" x14ac:dyDescent="0.3">
      <c r="D23" s="37"/>
      <c r="E23" s="41"/>
      <c r="F23" s="20">
        <v>17</v>
      </c>
      <c r="G23" s="21">
        <v>1017</v>
      </c>
      <c r="H23" s="21" t="s">
        <v>19</v>
      </c>
      <c r="I23" s="20">
        <f t="shared" si="3"/>
        <v>5</v>
      </c>
      <c r="J23" s="50" t="s">
        <v>42</v>
      </c>
      <c r="K23" s="50" t="str">
        <f t="shared" si="12"/>
        <v>WO</v>
      </c>
      <c r="L23" s="50" t="s">
        <v>42</v>
      </c>
      <c r="M23" s="50" t="s">
        <v>42</v>
      </c>
      <c r="N23" s="50" t="s">
        <v>44</v>
      </c>
      <c r="O23" s="50" t="s">
        <v>42</v>
      </c>
      <c r="P23" s="50" t="s">
        <v>42</v>
      </c>
      <c r="Q23" s="50" t="s">
        <v>42</v>
      </c>
      <c r="R23" s="50" t="str">
        <f t="shared" si="12"/>
        <v>WO</v>
      </c>
      <c r="S23" s="50" t="s">
        <v>42</v>
      </c>
      <c r="T23" s="50" t="s">
        <v>42</v>
      </c>
      <c r="U23" s="50" t="s">
        <v>42</v>
      </c>
      <c r="V23" s="50" t="s">
        <v>42</v>
      </c>
      <c r="W23" s="50" t="s">
        <v>44</v>
      </c>
      <c r="X23" s="50" t="s">
        <v>42</v>
      </c>
      <c r="Y23" s="50" t="str">
        <f t="shared" si="12"/>
        <v>WO</v>
      </c>
      <c r="Z23" s="50" t="s">
        <v>42</v>
      </c>
      <c r="AA23" s="50" t="s">
        <v>42</v>
      </c>
      <c r="AB23" s="50" t="s">
        <v>42</v>
      </c>
      <c r="AC23" s="50" t="s">
        <v>42</v>
      </c>
      <c r="AD23" s="50" t="s">
        <v>42</v>
      </c>
      <c r="AE23" s="50" t="s">
        <v>42</v>
      </c>
      <c r="AF23" s="50" t="str">
        <f t="shared" si="11"/>
        <v>WO</v>
      </c>
      <c r="AG23" s="50" t="s">
        <v>42</v>
      </c>
      <c r="AH23" s="50" t="s">
        <v>42</v>
      </c>
      <c r="AI23" s="50" t="s">
        <v>42</v>
      </c>
      <c r="AJ23" s="50" t="s">
        <v>42</v>
      </c>
      <c r="AK23" s="50" t="s">
        <v>42</v>
      </c>
      <c r="AL23" s="50" t="s">
        <v>42</v>
      </c>
      <c r="AM23" s="51" t="str">
        <f t="shared" si="11"/>
        <v>WO</v>
      </c>
      <c r="AN23" s="39"/>
      <c r="AO23" s="28">
        <v>17</v>
      </c>
      <c r="AP23" s="21">
        <v>1017</v>
      </c>
      <c r="AQ23" s="33" t="str">
        <f t="shared" si="5"/>
        <v>November</v>
      </c>
      <c r="AR23" s="21" t="s">
        <v>19</v>
      </c>
      <c r="AS23" s="29">
        <f t="shared" si="6"/>
        <v>23</v>
      </c>
      <c r="AT23" s="29">
        <f t="shared" si="7"/>
        <v>0</v>
      </c>
      <c r="AU23" s="29">
        <f t="shared" si="8"/>
        <v>2</v>
      </c>
      <c r="AV23" s="29">
        <f t="shared" si="9"/>
        <v>5</v>
      </c>
      <c r="AW23" s="30">
        <f t="shared" si="10"/>
        <v>30</v>
      </c>
      <c r="AX23" s="29">
        <f>NOVReport[[#This Row],[Days]]-NOVReport[[#This Row],[Adsent]]</f>
        <v>30</v>
      </c>
      <c r="AY23" s="31">
        <v>42000</v>
      </c>
      <c r="AZ23" s="32">
        <f>NOVReport[[#This Row],[Salary]]/NOVReport[[#This Row],[Days]]</f>
        <v>1400</v>
      </c>
      <c r="BA23" s="31">
        <f>NOVReport[[#This Row],[Perday salary]]*NOVReport[[#This Row],[Adsent]]</f>
        <v>0</v>
      </c>
      <c r="BB23" s="31">
        <f>NOVReport[[#This Row],[Salary]]-NOVReport[[#This Row],[Detuction ]]</f>
        <v>42000</v>
      </c>
      <c r="BC23" s="29"/>
      <c r="BD23" s="39"/>
      <c r="BE23" s="37"/>
      <c r="BF23" s="37"/>
      <c r="BG23" s="37"/>
      <c r="BH23" s="37"/>
      <c r="BI23" s="37"/>
      <c r="BJ23" s="37"/>
    </row>
    <row r="24" spans="1:62" x14ac:dyDescent="0.3">
      <c r="D24" s="37"/>
      <c r="E24" s="41"/>
      <c r="F24" s="20">
        <v>18</v>
      </c>
      <c r="G24" s="21">
        <v>1018</v>
      </c>
      <c r="H24" s="21" t="s">
        <v>20</v>
      </c>
      <c r="I24" s="20">
        <f t="shared" si="3"/>
        <v>5</v>
      </c>
      <c r="J24" s="50" t="s">
        <v>42</v>
      </c>
      <c r="K24" s="50" t="str">
        <f t="shared" si="12"/>
        <v>WO</v>
      </c>
      <c r="L24" s="50" t="s">
        <v>42</v>
      </c>
      <c r="M24" s="50" t="s">
        <v>42</v>
      </c>
      <c r="N24" s="50" t="s">
        <v>44</v>
      </c>
      <c r="O24" s="50" t="s">
        <v>42</v>
      </c>
      <c r="P24" s="50" t="s">
        <v>42</v>
      </c>
      <c r="Q24" s="50" t="s">
        <v>42</v>
      </c>
      <c r="R24" s="50" t="str">
        <f t="shared" si="12"/>
        <v>WO</v>
      </c>
      <c r="S24" s="50" t="s">
        <v>42</v>
      </c>
      <c r="T24" s="50" t="s">
        <v>42</v>
      </c>
      <c r="U24" s="50" t="s">
        <v>42</v>
      </c>
      <c r="V24" s="50" t="s">
        <v>42</v>
      </c>
      <c r="W24" s="50" t="s">
        <v>44</v>
      </c>
      <c r="X24" s="50" t="s">
        <v>42</v>
      </c>
      <c r="Y24" s="50" t="str">
        <f t="shared" si="12"/>
        <v>WO</v>
      </c>
      <c r="Z24" s="50" t="s">
        <v>42</v>
      </c>
      <c r="AA24" s="50" t="s">
        <v>42</v>
      </c>
      <c r="AB24" s="50" t="s">
        <v>42</v>
      </c>
      <c r="AC24" s="50" t="s">
        <v>42</v>
      </c>
      <c r="AD24" s="50" t="s">
        <v>42</v>
      </c>
      <c r="AE24" s="50" t="s">
        <v>42</v>
      </c>
      <c r="AF24" s="50" t="str">
        <f t="shared" si="11"/>
        <v>WO</v>
      </c>
      <c r="AG24" s="50" t="s">
        <v>42</v>
      </c>
      <c r="AH24" s="50" t="s">
        <v>42</v>
      </c>
      <c r="AI24" s="50" t="s">
        <v>42</v>
      </c>
      <c r="AJ24" s="50" t="s">
        <v>42</v>
      </c>
      <c r="AK24" s="50" t="s">
        <v>42</v>
      </c>
      <c r="AL24" s="50" t="s">
        <v>42</v>
      </c>
      <c r="AM24" s="51" t="str">
        <f t="shared" si="11"/>
        <v>WO</v>
      </c>
      <c r="AN24" s="39"/>
      <c r="AO24" s="28">
        <v>18</v>
      </c>
      <c r="AP24" s="21">
        <v>1018</v>
      </c>
      <c r="AQ24" s="33" t="str">
        <f t="shared" si="5"/>
        <v>November</v>
      </c>
      <c r="AR24" s="21" t="s">
        <v>20</v>
      </c>
      <c r="AS24" s="29">
        <f t="shared" si="6"/>
        <v>23</v>
      </c>
      <c r="AT24" s="29">
        <f t="shared" si="7"/>
        <v>0</v>
      </c>
      <c r="AU24" s="29">
        <f t="shared" si="8"/>
        <v>2</v>
      </c>
      <c r="AV24" s="29">
        <f t="shared" si="9"/>
        <v>5</v>
      </c>
      <c r="AW24" s="30">
        <f t="shared" si="10"/>
        <v>30</v>
      </c>
      <c r="AX24" s="29">
        <f>NOVReport[[#This Row],[Days]]-NOVReport[[#This Row],[Adsent]]</f>
        <v>30</v>
      </c>
      <c r="AY24" s="31">
        <v>62000</v>
      </c>
      <c r="AZ24" s="32">
        <f>NOVReport[[#This Row],[Salary]]/NOVReport[[#This Row],[Days]]</f>
        <v>2066.6666666666665</v>
      </c>
      <c r="BA24" s="31">
        <f>NOVReport[[#This Row],[Perday salary]]*NOVReport[[#This Row],[Adsent]]</f>
        <v>0</v>
      </c>
      <c r="BB24" s="31">
        <f>NOVReport[[#This Row],[Salary]]-NOVReport[[#This Row],[Detuction ]]</f>
        <v>62000</v>
      </c>
      <c r="BC24" s="29"/>
      <c r="BD24" s="39"/>
      <c r="BE24" s="37"/>
      <c r="BF24" s="37"/>
      <c r="BG24" s="37"/>
      <c r="BH24" s="37"/>
      <c r="BI24" s="37"/>
      <c r="BJ24" s="37"/>
    </row>
    <row r="25" spans="1:62" x14ac:dyDescent="0.3">
      <c r="D25" s="37"/>
      <c r="E25" s="41"/>
      <c r="F25" s="20">
        <v>19</v>
      </c>
      <c r="G25" s="21">
        <v>1019</v>
      </c>
      <c r="H25" s="21" t="s">
        <v>21</v>
      </c>
      <c r="I25" s="20">
        <f t="shared" si="3"/>
        <v>5</v>
      </c>
      <c r="J25" s="50" t="s">
        <v>42</v>
      </c>
      <c r="K25" s="50" t="str">
        <f t="shared" si="12"/>
        <v>WO</v>
      </c>
      <c r="L25" s="50" t="s">
        <v>42</v>
      </c>
      <c r="M25" s="50" t="s">
        <v>42</v>
      </c>
      <c r="N25" s="50" t="s">
        <v>44</v>
      </c>
      <c r="O25" s="50" t="s">
        <v>42</v>
      </c>
      <c r="P25" s="50" t="s">
        <v>42</v>
      </c>
      <c r="Q25" s="50" t="s">
        <v>42</v>
      </c>
      <c r="R25" s="50" t="str">
        <f t="shared" si="12"/>
        <v>WO</v>
      </c>
      <c r="S25" s="50" t="s">
        <v>42</v>
      </c>
      <c r="T25" s="50" t="s">
        <v>42</v>
      </c>
      <c r="U25" s="50" t="s">
        <v>42</v>
      </c>
      <c r="V25" s="50" t="s">
        <v>42</v>
      </c>
      <c r="W25" s="50" t="s">
        <v>44</v>
      </c>
      <c r="X25" s="50" t="s">
        <v>42</v>
      </c>
      <c r="Y25" s="50" t="str">
        <f t="shared" si="12"/>
        <v>WO</v>
      </c>
      <c r="Z25" s="50" t="s">
        <v>42</v>
      </c>
      <c r="AA25" s="50" t="s">
        <v>42</v>
      </c>
      <c r="AB25" s="50" t="s">
        <v>42</v>
      </c>
      <c r="AC25" s="50" t="s">
        <v>42</v>
      </c>
      <c r="AD25" s="50" t="s">
        <v>42</v>
      </c>
      <c r="AE25" s="50" t="s">
        <v>42</v>
      </c>
      <c r="AF25" s="50" t="str">
        <f t="shared" si="11"/>
        <v>WO</v>
      </c>
      <c r="AG25" s="50" t="s">
        <v>42</v>
      </c>
      <c r="AH25" s="50" t="s">
        <v>42</v>
      </c>
      <c r="AI25" s="50" t="s">
        <v>42</v>
      </c>
      <c r="AJ25" s="50" t="s">
        <v>42</v>
      </c>
      <c r="AK25" s="50" t="s">
        <v>42</v>
      </c>
      <c r="AL25" s="50" t="s">
        <v>42</v>
      </c>
      <c r="AM25" s="51" t="str">
        <f t="shared" si="11"/>
        <v>WO</v>
      </c>
      <c r="AN25" s="39"/>
      <c r="AO25" s="28">
        <v>19</v>
      </c>
      <c r="AP25" s="21">
        <v>1019</v>
      </c>
      <c r="AQ25" s="33" t="str">
        <f t="shared" si="5"/>
        <v>November</v>
      </c>
      <c r="AR25" s="21" t="s">
        <v>21</v>
      </c>
      <c r="AS25" s="29">
        <f t="shared" si="6"/>
        <v>23</v>
      </c>
      <c r="AT25" s="29">
        <f t="shared" si="7"/>
        <v>0</v>
      </c>
      <c r="AU25" s="29">
        <f t="shared" si="8"/>
        <v>2</v>
      </c>
      <c r="AV25" s="29">
        <f t="shared" si="9"/>
        <v>5</v>
      </c>
      <c r="AW25" s="30">
        <f t="shared" si="10"/>
        <v>30</v>
      </c>
      <c r="AX25" s="29">
        <f>NOVReport[[#This Row],[Days]]-NOVReport[[#This Row],[Adsent]]</f>
        <v>30</v>
      </c>
      <c r="AY25" s="31">
        <v>41000</v>
      </c>
      <c r="AZ25" s="32">
        <f>NOVReport[[#This Row],[Salary]]/NOVReport[[#This Row],[Days]]</f>
        <v>1366.6666666666667</v>
      </c>
      <c r="BA25" s="31">
        <f>NOVReport[[#This Row],[Perday salary]]*NOVReport[[#This Row],[Adsent]]</f>
        <v>0</v>
      </c>
      <c r="BB25" s="31">
        <f>NOVReport[[#This Row],[Salary]]-NOVReport[[#This Row],[Detuction ]]</f>
        <v>41000</v>
      </c>
      <c r="BC25" s="29"/>
      <c r="BD25" s="39"/>
      <c r="BE25" s="37"/>
      <c r="BF25" s="37"/>
      <c r="BG25" s="37"/>
      <c r="BH25" s="37"/>
      <c r="BI25" s="37"/>
      <c r="BJ25" s="37"/>
    </row>
    <row r="26" spans="1:62" ht="15" thickBot="1" x14ac:dyDescent="0.35">
      <c r="D26" s="37"/>
      <c r="E26" s="41"/>
      <c r="F26" s="24">
        <v>20</v>
      </c>
      <c r="G26" s="25">
        <v>1020</v>
      </c>
      <c r="H26" s="25" t="s">
        <v>22</v>
      </c>
      <c r="I26" s="24">
        <f t="shared" si="3"/>
        <v>5</v>
      </c>
      <c r="J26" s="52" t="s">
        <v>42</v>
      </c>
      <c r="K26" s="52" t="str">
        <f t="shared" si="12"/>
        <v>WO</v>
      </c>
      <c r="L26" s="52" t="s">
        <v>42</v>
      </c>
      <c r="M26" s="52" t="s">
        <v>42</v>
      </c>
      <c r="N26" s="52" t="s">
        <v>44</v>
      </c>
      <c r="O26" s="52" t="s">
        <v>42</v>
      </c>
      <c r="P26" s="52" t="s">
        <v>42</v>
      </c>
      <c r="Q26" s="52" t="s">
        <v>42</v>
      </c>
      <c r="R26" s="52" t="str">
        <f t="shared" si="12"/>
        <v>WO</v>
      </c>
      <c r="S26" s="52" t="s">
        <v>42</v>
      </c>
      <c r="T26" s="52" t="s">
        <v>42</v>
      </c>
      <c r="U26" s="52" t="s">
        <v>42</v>
      </c>
      <c r="V26" s="52" t="s">
        <v>42</v>
      </c>
      <c r="W26" s="52" t="s">
        <v>44</v>
      </c>
      <c r="X26" s="52" t="s">
        <v>42</v>
      </c>
      <c r="Y26" s="52" t="str">
        <f t="shared" si="12"/>
        <v>WO</v>
      </c>
      <c r="Z26" s="52" t="s">
        <v>42</v>
      </c>
      <c r="AA26" s="52" t="s">
        <v>42</v>
      </c>
      <c r="AB26" s="52" t="s">
        <v>42</v>
      </c>
      <c r="AC26" s="52" t="s">
        <v>42</v>
      </c>
      <c r="AD26" s="52" t="s">
        <v>42</v>
      </c>
      <c r="AE26" s="52" t="s">
        <v>42</v>
      </c>
      <c r="AF26" s="52" t="str">
        <f t="shared" si="11"/>
        <v>WO</v>
      </c>
      <c r="AG26" s="52" t="s">
        <v>42</v>
      </c>
      <c r="AH26" s="52" t="s">
        <v>42</v>
      </c>
      <c r="AI26" s="52" t="s">
        <v>42</v>
      </c>
      <c r="AJ26" s="52" t="s">
        <v>42</v>
      </c>
      <c r="AK26" s="52" t="s">
        <v>42</v>
      </c>
      <c r="AL26" s="52" t="s">
        <v>42</v>
      </c>
      <c r="AM26" s="53" t="str">
        <f t="shared" si="11"/>
        <v>WO</v>
      </c>
      <c r="AN26" s="39"/>
      <c r="AO26" s="28">
        <v>20</v>
      </c>
      <c r="AP26" s="21">
        <v>1020</v>
      </c>
      <c r="AQ26" s="33" t="str">
        <f t="shared" si="5"/>
        <v>November</v>
      </c>
      <c r="AR26" s="21" t="s">
        <v>22</v>
      </c>
      <c r="AS26" s="29">
        <f t="shared" si="6"/>
        <v>23</v>
      </c>
      <c r="AT26" s="29">
        <f t="shared" si="7"/>
        <v>0</v>
      </c>
      <c r="AU26" s="29">
        <f t="shared" si="8"/>
        <v>2</v>
      </c>
      <c r="AV26" s="29">
        <f t="shared" si="9"/>
        <v>5</v>
      </c>
      <c r="AW26" s="30">
        <f t="shared" si="10"/>
        <v>30</v>
      </c>
      <c r="AX26" s="29">
        <f>NOVReport[[#This Row],[Days]]-NOVReport[[#This Row],[Adsent]]</f>
        <v>30</v>
      </c>
      <c r="AY26" s="31">
        <v>30000</v>
      </c>
      <c r="AZ26" s="32">
        <f>NOVReport[[#This Row],[Salary]]/NOVReport[[#This Row],[Days]]</f>
        <v>1000</v>
      </c>
      <c r="BA26" s="31">
        <f>NOVReport[[#This Row],[Perday salary]]*NOVReport[[#This Row],[Adsent]]</f>
        <v>0</v>
      </c>
      <c r="BB26" s="31">
        <f>NOVReport[[#This Row],[Salary]]-NOVReport[[#This Row],[Detuction ]]</f>
        <v>30000</v>
      </c>
      <c r="BC26" s="29"/>
      <c r="BD26" s="39"/>
      <c r="BE26" s="37"/>
      <c r="BF26" s="37"/>
      <c r="BG26" s="37"/>
      <c r="BH26" s="37"/>
      <c r="BI26" s="37"/>
      <c r="BJ26" s="37"/>
    </row>
    <row r="27" spans="1:62" x14ac:dyDescent="0.3">
      <c r="D27" s="37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  <c r="AA27" s="41"/>
      <c r="AB27" s="41"/>
      <c r="AC27" s="41"/>
      <c r="AD27" s="41"/>
      <c r="AE27" s="41"/>
      <c r="AF27" s="41"/>
      <c r="AG27" s="41"/>
      <c r="AH27" s="41"/>
      <c r="AI27" s="41"/>
      <c r="AJ27" s="41"/>
      <c r="AK27" s="41"/>
      <c r="AL27" s="41"/>
      <c r="AM27" s="41"/>
      <c r="AN27" s="39"/>
      <c r="AO27" s="39"/>
      <c r="AP27" s="39"/>
      <c r="AQ27" s="39"/>
      <c r="AR27" s="39"/>
      <c r="AS27" s="39"/>
      <c r="AT27" s="39"/>
      <c r="AU27" s="39"/>
      <c r="AV27" s="39"/>
      <c r="AW27" s="39"/>
      <c r="AX27" s="39"/>
      <c r="AY27" s="39"/>
      <c r="AZ27" s="39"/>
      <c r="BA27" s="39"/>
      <c r="BB27" s="39"/>
      <c r="BC27" s="39"/>
      <c r="BD27" s="39"/>
      <c r="BE27" s="37"/>
      <c r="BF27" s="37"/>
      <c r="BG27" s="37"/>
      <c r="BH27" s="37"/>
      <c r="BI27" s="37"/>
      <c r="BJ27" s="37"/>
    </row>
    <row r="28" spans="1:62" x14ac:dyDescent="0.3"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  <c r="AA28" s="37"/>
      <c r="AB28" s="37"/>
      <c r="AC28" s="37"/>
      <c r="AD28" s="37"/>
      <c r="AE28" s="37"/>
      <c r="AF28" s="37"/>
      <c r="AG28" s="37"/>
      <c r="AH28" s="37"/>
      <c r="AI28" s="37"/>
      <c r="AJ28" s="37"/>
      <c r="AK28" s="37"/>
      <c r="AL28" s="37"/>
      <c r="AM28" s="37"/>
      <c r="AN28" s="37"/>
      <c r="AO28" s="37"/>
      <c r="AP28" s="37"/>
      <c r="AQ28" s="37"/>
      <c r="AR28" s="37"/>
      <c r="AS28" s="37"/>
      <c r="AT28" s="37"/>
      <c r="AU28" s="37"/>
      <c r="AV28" s="37"/>
      <c r="AW28" s="37"/>
      <c r="AX28" s="37"/>
      <c r="AY28" s="37"/>
      <c r="AZ28" s="37"/>
      <c r="BA28" s="37"/>
      <c r="BB28" s="37"/>
      <c r="BC28" s="37"/>
      <c r="BD28" s="37"/>
      <c r="BE28" s="37"/>
      <c r="BF28" s="37"/>
      <c r="BG28" s="37"/>
      <c r="BH28" s="37"/>
      <c r="BI28" s="37"/>
      <c r="BJ28" s="37"/>
    </row>
    <row r="29" spans="1:62" x14ac:dyDescent="0.3"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  <c r="AA29" s="37"/>
      <c r="AB29" s="37"/>
      <c r="AC29" s="37"/>
      <c r="AD29" s="37"/>
      <c r="AE29" s="37"/>
      <c r="AF29" s="37"/>
      <c r="AG29" s="37"/>
      <c r="AH29" s="37"/>
      <c r="AI29" s="37"/>
      <c r="AJ29" s="37"/>
      <c r="AK29" s="37"/>
      <c r="AL29" s="37"/>
      <c r="AM29" s="37"/>
      <c r="AN29" s="37"/>
      <c r="AO29" s="37"/>
      <c r="AP29" s="37"/>
      <c r="AQ29" s="37"/>
      <c r="AR29" s="37"/>
      <c r="AS29" s="37"/>
      <c r="AT29" s="37"/>
      <c r="AU29" s="37"/>
      <c r="AV29" s="37"/>
      <c r="AW29" s="37"/>
      <c r="AX29" s="37"/>
      <c r="AY29" s="37"/>
      <c r="AZ29" s="37"/>
      <c r="BA29" s="37"/>
      <c r="BB29" s="37"/>
      <c r="BC29" s="37"/>
      <c r="BD29" s="37"/>
      <c r="BE29" s="37"/>
      <c r="BF29" s="37"/>
      <c r="BG29" s="37"/>
      <c r="BH29" s="37"/>
      <c r="BI29" s="37"/>
      <c r="BJ29" s="37"/>
    </row>
    <row r="30" spans="1:62" x14ac:dyDescent="0.3">
      <c r="A30" s="37"/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  <c r="AA30" s="37"/>
      <c r="AB30" s="37"/>
      <c r="AC30" s="37"/>
      <c r="AD30" s="37"/>
      <c r="AE30" s="37"/>
      <c r="AF30" s="37"/>
      <c r="AG30" s="37"/>
      <c r="AH30" s="37"/>
      <c r="AI30" s="37"/>
      <c r="AJ30" s="37"/>
      <c r="AK30" s="37"/>
      <c r="AL30" s="37"/>
      <c r="AM30" s="37"/>
      <c r="AN30" s="37"/>
      <c r="AO30" s="37"/>
      <c r="AP30" s="37"/>
      <c r="AQ30" s="37"/>
      <c r="AR30" s="37"/>
      <c r="AS30" s="37"/>
      <c r="AT30" s="37"/>
      <c r="AU30" s="37"/>
      <c r="AV30" s="37"/>
      <c r="AW30" s="37"/>
      <c r="AX30" s="37"/>
      <c r="AY30" s="37"/>
      <c r="AZ30" s="37"/>
      <c r="BA30" s="37"/>
      <c r="BB30" s="37"/>
      <c r="BC30" s="37"/>
      <c r="BD30" s="37"/>
      <c r="BE30" s="37"/>
      <c r="BF30" s="37"/>
      <c r="BG30" s="37"/>
      <c r="BH30" s="37"/>
      <c r="BI30" s="37"/>
      <c r="BJ30" s="37"/>
    </row>
    <row r="31" spans="1:62" x14ac:dyDescent="0.3">
      <c r="A31" s="37"/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  <c r="AA31" s="37"/>
      <c r="AB31" s="37"/>
      <c r="AC31" s="37"/>
      <c r="AD31" s="37"/>
      <c r="AE31" s="37"/>
      <c r="AF31" s="37"/>
      <c r="AG31" s="37"/>
      <c r="AH31" s="37"/>
      <c r="AI31" s="37"/>
      <c r="AJ31" s="37"/>
      <c r="AK31" s="37"/>
      <c r="AL31" s="37"/>
      <c r="AM31" s="37"/>
      <c r="AN31" s="37"/>
      <c r="AO31" s="37"/>
      <c r="AP31" s="37"/>
      <c r="AQ31" s="37"/>
      <c r="AR31" s="37"/>
      <c r="AS31" s="37"/>
      <c r="AT31" s="37"/>
      <c r="AU31" s="37"/>
      <c r="AV31" s="37"/>
      <c r="AW31" s="37"/>
      <c r="AX31" s="37"/>
      <c r="AY31" s="37"/>
      <c r="AZ31" s="37"/>
      <c r="BA31" s="37"/>
      <c r="BB31" s="37"/>
      <c r="BC31" s="37"/>
      <c r="BD31" s="37"/>
      <c r="BE31" s="37"/>
      <c r="BF31" s="37"/>
      <c r="BG31" s="37"/>
      <c r="BH31" s="37"/>
      <c r="BI31" s="37"/>
      <c r="BJ31" s="37"/>
    </row>
    <row r="32" spans="1:62" x14ac:dyDescent="0.3">
      <c r="A32" s="37"/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  <c r="AA32" s="37"/>
      <c r="AB32" s="37"/>
      <c r="AC32" s="37"/>
      <c r="AD32" s="37"/>
      <c r="AE32" s="37"/>
      <c r="AF32" s="37"/>
      <c r="AG32" s="37"/>
      <c r="AH32" s="37"/>
      <c r="AI32" s="37"/>
      <c r="AJ32" s="37"/>
      <c r="AK32" s="37"/>
      <c r="AL32" s="37"/>
      <c r="AM32" s="37"/>
      <c r="AN32" s="37"/>
      <c r="AO32" s="37"/>
      <c r="AP32" s="37"/>
      <c r="AQ32" s="37"/>
      <c r="AR32" s="37"/>
      <c r="AS32" s="37"/>
      <c r="AT32" s="37"/>
      <c r="AU32" s="37"/>
      <c r="AV32" s="37"/>
      <c r="AW32" s="37"/>
      <c r="AX32" s="37"/>
      <c r="AY32" s="37"/>
      <c r="AZ32" s="37"/>
      <c r="BA32" s="37"/>
      <c r="BB32" s="37"/>
      <c r="BC32" s="37"/>
      <c r="BD32" s="37"/>
      <c r="BE32" s="37"/>
      <c r="BF32" s="37"/>
      <c r="BG32" s="37"/>
      <c r="BH32" s="37"/>
      <c r="BI32" s="37"/>
      <c r="BJ32" s="37"/>
    </row>
    <row r="33" spans="1:62" x14ac:dyDescent="0.3">
      <c r="A33" s="37"/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  <c r="AA33" s="37"/>
      <c r="AB33" s="37"/>
      <c r="AC33" s="37"/>
      <c r="AD33" s="37"/>
      <c r="AE33" s="37"/>
      <c r="AF33" s="37"/>
      <c r="AG33" s="37"/>
      <c r="AH33" s="37"/>
      <c r="AI33" s="37"/>
      <c r="AJ33" s="37"/>
      <c r="AK33" s="37"/>
      <c r="AL33" s="37"/>
      <c r="AM33" s="37"/>
      <c r="AN33" s="37"/>
      <c r="AO33" s="37"/>
      <c r="AP33" s="37"/>
      <c r="AQ33" s="37"/>
      <c r="AR33" s="37"/>
      <c r="AS33" s="37"/>
      <c r="AT33" s="37"/>
      <c r="AU33" s="37"/>
      <c r="AV33" s="37"/>
      <c r="AW33" s="37"/>
      <c r="AX33" s="37"/>
      <c r="AY33" s="37"/>
      <c r="AZ33" s="37"/>
      <c r="BA33" s="37"/>
      <c r="BB33" s="37"/>
      <c r="BC33" s="37"/>
      <c r="BD33" s="37"/>
      <c r="BE33" s="37"/>
      <c r="BF33" s="37"/>
      <c r="BG33" s="37"/>
      <c r="BH33" s="37"/>
      <c r="BI33" s="37"/>
      <c r="BJ33" s="37"/>
    </row>
    <row r="34" spans="1:62" x14ac:dyDescent="0.3">
      <c r="A34" s="37"/>
      <c r="B34" s="37"/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  <c r="AA34" s="37"/>
      <c r="AB34" s="37"/>
      <c r="AC34" s="37"/>
      <c r="AD34" s="37"/>
      <c r="AE34" s="37"/>
      <c r="AF34" s="37"/>
      <c r="AG34" s="37"/>
      <c r="AH34" s="37"/>
      <c r="AI34" s="37"/>
      <c r="AJ34" s="37"/>
      <c r="AK34" s="37"/>
      <c r="AL34" s="37"/>
      <c r="AM34" s="37"/>
      <c r="AN34" s="37"/>
      <c r="AO34" s="37"/>
      <c r="AP34" s="37"/>
      <c r="AQ34" s="37"/>
      <c r="AR34" s="37"/>
      <c r="AS34" s="37"/>
      <c r="AT34" s="37"/>
      <c r="AU34" s="37"/>
      <c r="AV34" s="37"/>
      <c r="AW34" s="37"/>
      <c r="AX34" s="37"/>
      <c r="AY34" s="37"/>
      <c r="AZ34" s="37"/>
      <c r="BA34" s="37"/>
      <c r="BB34" s="37"/>
      <c r="BC34" s="37"/>
      <c r="BD34" s="37"/>
      <c r="BE34" s="37"/>
      <c r="BF34" s="37"/>
      <c r="BG34" s="37"/>
      <c r="BH34" s="37"/>
      <c r="BI34" s="37"/>
      <c r="BJ34" s="37"/>
    </row>
    <row r="35" spans="1:62" x14ac:dyDescent="0.3">
      <c r="A35" s="37"/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  <c r="AA35" s="37"/>
      <c r="AB35" s="37"/>
      <c r="AC35" s="37"/>
      <c r="AD35" s="37"/>
      <c r="AE35" s="37"/>
      <c r="AF35" s="37"/>
      <c r="AG35" s="37"/>
      <c r="AH35" s="37"/>
      <c r="AI35" s="37"/>
      <c r="AJ35" s="37"/>
      <c r="AK35" s="37"/>
      <c r="AL35" s="37"/>
      <c r="AM35" s="37"/>
      <c r="AN35" s="37"/>
      <c r="AO35" s="37"/>
      <c r="AP35" s="37"/>
      <c r="AQ35" s="37"/>
      <c r="AR35" s="37"/>
      <c r="AS35" s="37"/>
      <c r="AT35" s="37"/>
      <c r="AU35" s="37"/>
      <c r="AV35" s="37"/>
      <c r="AW35" s="37"/>
      <c r="AX35" s="37"/>
      <c r="AY35" s="37"/>
      <c r="AZ35" s="37"/>
      <c r="BA35" s="37"/>
      <c r="BB35" s="37"/>
      <c r="BC35" s="37"/>
      <c r="BD35" s="37"/>
      <c r="BE35" s="37"/>
      <c r="BF35" s="37"/>
      <c r="BG35" s="37"/>
      <c r="BH35" s="37"/>
      <c r="BI35" s="37"/>
      <c r="BJ35" s="37"/>
    </row>
    <row r="36" spans="1:62" x14ac:dyDescent="0.3">
      <c r="A36" s="37"/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  <c r="AA36" s="37"/>
      <c r="AB36" s="37"/>
      <c r="AC36" s="37"/>
      <c r="AD36" s="37"/>
      <c r="AE36" s="37"/>
      <c r="AF36" s="37"/>
      <c r="AG36" s="37"/>
      <c r="AH36" s="37"/>
      <c r="AI36" s="37"/>
      <c r="AJ36" s="37"/>
      <c r="AK36" s="37"/>
      <c r="AL36" s="37"/>
      <c r="AM36" s="37"/>
      <c r="AN36" s="37"/>
      <c r="AO36" s="37"/>
      <c r="AP36" s="37"/>
      <c r="AQ36" s="37"/>
      <c r="AR36" s="37"/>
      <c r="AS36" s="37"/>
      <c r="AT36" s="37"/>
      <c r="AU36" s="37"/>
      <c r="AV36" s="37"/>
      <c r="AW36" s="37"/>
      <c r="AX36" s="37"/>
      <c r="AY36" s="37"/>
      <c r="AZ36" s="37"/>
      <c r="BA36" s="37"/>
      <c r="BB36" s="37"/>
      <c r="BC36" s="37"/>
      <c r="BD36" s="37"/>
      <c r="BE36" s="37"/>
      <c r="BF36" s="37"/>
      <c r="BG36" s="37"/>
      <c r="BH36" s="37"/>
      <c r="BI36" s="37"/>
      <c r="BJ36" s="37"/>
    </row>
    <row r="37" spans="1:62" x14ac:dyDescent="0.3">
      <c r="A37" s="37"/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37"/>
      <c r="AB37" s="37"/>
      <c r="AC37" s="37"/>
      <c r="AD37" s="37"/>
      <c r="AE37" s="37"/>
      <c r="AF37" s="37"/>
      <c r="AG37" s="37"/>
      <c r="AH37" s="37"/>
      <c r="AI37" s="37"/>
      <c r="AJ37" s="37"/>
      <c r="AK37" s="37"/>
      <c r="AL37" s="37"/>
      <c r="AM37" s="37"/>
      <c r="AN37" s="37"/>
      <c r="AO37" s="37"/>
      <c r="AP37" s="37"/>
      <c r="AQ37" s="37"/>
      <c r="AR37" s="37"/>
      <c r="AS37" s="37"/>
      <c r="AT37" s="37"/>
      <c r="AU37" s="37"/>
      <c r="AV37" s="37"/>
      <c r="AW37" s="37"/>
      <c r="AX37" s="37"/>
      <c r="AY37" s="37"/>
      <c r="AZ37" s="37"/>
      <c r="BA37" s="37"/>
      <c r="BB37" s="37"/>
      <c r="BC37" s="37"/>
      <c r="BD37" s="37"/>
      <c r="BE37" s="37"/>
      <c r="BF37" s="37"/>
      <c r="BG37" s="37"/>
      <c r="BH37" s="37"/>
      <c r="BI37" s="37"/>
      <c r="BJ37" s="37"/>
    </row>
    <row r="38" spans="1:62" x14ac:dyDescent="0.3">
      <c r="A38" s="37"/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  <c r="AA38" s="37"/>
      <c r="AB38" s="37"/>
      <c r="AC38" s="37"/>
      <c r="AD38" s="37"/>
      <c r="AE38" s="37"/>
      <c r="AF38" s="37"/>
      <c r="AG38" s="37"/>
      <c r="AH38" s="37"/>
      <c r="AI38" s="37"/>
      <c r="AJ38" s="37"/>
      <c r="AK38" s="37"/>
      <c r="AL38" s="37"/>
      <c r="AM38" s="37"/>
      <c r="AN38" s="37"/>
      <c r="AO38" s="37"/>
      <c r="AP38" s="37"/>
      <c r="AQ38" s="37"/>
      <c r="AR38" s="37"/>
      <c r="AS38" s="37"/>
      <c r="AT38" s="37"/>
      <c r="AU38" s="37"/>
      <c r="AV38" s="37"/>
      <c r="AW38" s="37"/>
      <c r="AX38" s="37"/>
      <c r="AY38" s="37"/>
      <c r="AZ38" s="37"/>
      <c r="BA38" s="37"/>
      <c r="BB38" s="37"/>
      <c r="BC38" s="37"/>
      <c r="BD38" s="37"/>
      <c r="BE38" s="37"/>
      <c r="BF38" s="37"/>
      <c r="BG38" s="37"/>
      <c r="BH38" s="37"/>
      <c r="BI38" s="37"/>
      <c r="BJ38" s="37"/>
    </row>
    <row r="39" spans="1:62" x14ac:dyDescent="0.3">
      <c r="A39" s="37"/>
      <c r="B39" s="37"/>
      <c r="C39" s="37"/>
      <c r="D39" s="37"/>
      <c r="E39" s="37"/>
      <c r="F39" s="37"/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  <c r="AA39" s="37"/>
      <c r="AB39" s="37"/>
      <c r="AC39" s="37"/>
      <c r="AD39" s="37"/>
      <c r="AE39" s="37"/>
      <c r="AF39" s="37"/>
      <c r="AG39" s="37"/>
      <c r="AH39" s="37"/>
      <c r="AI39" s="37"/>
      <c r="AJ39" s="37"/>
      <c r="AK39" s="37"/>
      <c r="AL39" s="37"/>
      <c r="AM39" s="37"/>
      <c r="AN39" s="37"/>
      <c r="AO39" s="37"/>
      <c r="AP39" s="37"/>
      <c r="AQ39" s="37"/>
      <c r="AR39" s="37"/>
      <c r="AS39" s="37"/>
      <c r="AT39" s="37"/>
      <c r="AU39" s="37"/>
      <c r="AV39" s="37"/>
      <c r="AW39" s="37"/>
      <c r="AX39" s="37"/>
      <c r="AY39" s="37"/>
      <c r="AZ39" s="37"/>
      <c r="BA39" s="37"/>
      <c r="BB39" s="37"/>
      <c r="BC39" s="37"/>
      <c r="BD39" s="37"/>
      <c r="BE39" s="37"/>
      <c r="BF39" s="37"/>
      <c r="BG39" s="37"/>
      <c r="BH39" s="37"/>
      <c r="BI39" s="37"/>
      <c r="BJ39" s="37"/>
    </row>
    <row r="40" spans="1:62" x14ac:dyDescent="0.3">
      <c r="A40" s="37"/>
      <c r="B40" s="37"/>
      <c r="C40" s="37"/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  <c r="AA40" s="37"/>
      <c r="AB40" s="37"/>
      <c r="AC40" s="37"/>
      <c r="AD40" s="37"/>
      <c r="AE40" s="37"/>
      <c r="AF40" s="37"/>
      <c r="AG40" s="37"/>
      <c r="AH40" s="37"/>
      <c r="AI40" s="37"/>
      <c r="AJ40" s="37"/>
      <c r="AK40" s="37"/>
      <c r="AL40" s="37"/>
      <c r="AM40" s="37"/>
      <c r="AN40" s="37"/>
      <c r="AO40" s="37"/>
      <c r="AP40" s="37"/>
      <c r="AQ40" s="37"/>
      <c r="AR40" s="37"/>
      <c r="AS40" s="37"/>
      <c r="AT40" s="37"/>
      <c r="AU40" s="37"/>
      <c r="AV40" s="37"/>
      <c r="AW40" s="37"/>
      <c r="AX40" s="37"/>
      <c r="AY40" s="37"/>
      <c r="AZ40" s="37"/>
      <c r="BA40" s="37"/>
      <c r="BB40" s="37"/>
      <c r="BC40" s="37"/>
      <c r="BD40" s="37"/>
      <c r="BE40" s="37"/>
      <c r="BF40" s="37"/>
      <c r="BG40" s="37"/>
      <c r="BH40" s="37"/>
      <c r="BI40" s="37"/>
      <c r="BJ40" s="37"/>
    </row>
    <row r="41" spans="1:62" x14ac:dyDescent="0.3">
      <c r="A41" s="37"/>
      <c r="B41" s="37"/>
      <c r="C41" s="37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  <c r="AA41" s="37"/>
      <c r="AB41" s="37"/>
      <c r="AC41" s="37"/>
      <c r="AD41" s="37"/>
      <c r="AE41" s="37"/>
      <c r="AF41" s="37"/>
      <c r="AG41" s="37"/>
      <c r="AH41" s="37"/>
      <c r="AI41" s="37"/>
      <c r="AJ41" s="37"/>
      <c r="AK41" s="37"/>
      <c r="AL41" s="37"/>
      <c r="AM41" s="37"/>
      <c r="AN41" s="37"/>
      <c r="AO41" s="37"/>
      <c r="AP41" s="37"/>
      <c r="AQ41" s="37"/>
      <c r="AR41" s="37"/>
      <c r="AS41" s="37"/>
      <c r="AT41" s="37"/>
      <c r="AU41" s="37"/>
      <c r="AV41" s="37"/>
      <c r="AW41" s="37"/>
      <c r="AX41" s="37"/>
      <c r="AY41" s="37"/>
      <c r="AZ41" s="37"/>
      <c r="BA41" s="37"/>
      <c r="BB41" s="37"/>
      <c r="BC41" s="37"/>
      <c r="BD41" s="37"/>
      <c r="BE41" s="37"/>
      <c r="BF41" s="37"/>
      <c r="BG41" s="37"/>
      <c r="BH41" s="37"/>
      <c r="BI41" s="37"/>
      <c r="BJ41" s="37"/>
    </row>
    <row r="42" spans="1:62" x14ac:dyDescent="0.3">
      <c r="A42" s="37"/>
      <c r="B42" s="37"/>
      <c r="C42" s="37"/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  <c r="AA42" s="37"/>
      <c r="AB42" s="37"/>
      <c r="AC42" s="37"/>
      <c r="AD42" s="37"/>
      <c r="AE42" s="37"/>
      <c r="AF42" s="37"/>
      <c r="AG42" s="37"/>
      <c r="AH42" s="37"/>
      <c r="AI42" s="37"/>
      <c r="AJ42" s="37"/>
      <c r="AK42" s="37"/>
      <c r="AL42" s="37"/>
      <c r="AM42" s="37"/>
      <c r="AN42" s="37"/>
      <c r="AO42" s="37"/>
      <c r="AP42" s="37"/>
      <c r="AQ42" s="37"/>
      <c r="AR42" s="37"/>
      <c r="AS42" s="37"/>
      <c r="AT42" s="37"/>
      <c r="AU42" s="37"/>
      <c r="AV42" s="37"/>
      <c r="AW42" s="37"/>
      <c r="AX42" s="37"/>
      <c r="AY42" s="37"/>
      <c r="AZ42" s="37"/>
      <c r="BA42" s="37"/>
      <c r="BB42" s="37"/>
      <c r="BC42" s="37"/>
      <c r="BD42" s="37"/>
      <c r="BE42" s="37"/>
      <c r="BF42" s="37"/>
      <c r="BG42" s="37"/>
      <c r="BH42" s="37"/>
      <c r="BI42" s="37"/>
      <c r="BJ42" s="37"/>
    </row>
    <row r="43" spans="1:62" x14ac:dyDescent="0.3">
      <c r="A43" s="37"/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  <c r="AA43" s="37"/>
      <c r="AB43" s="37"/>
      <c r="AC43" s="37"/>
      <c r="AD43" s="37"/>
      <c r="AE43" s="37"/>
      <c r="AF43" s="37"/>
      <c r="AG43" s="37"/>
      <c r="AH43" s="37"/>
      <c r="AI43" s="37"/>
      <c r="AJ43" s="37"/>
      <c r="AK43" s="37"/>
      <c r="AL43" s="37"/>
      <c r="AM43" s="37"/>
      <c r="AN43" s="37"/>
      <c r="AO43" s="37"/>
      <c r="AP43" s="37"/>
      <c r="AQ43" s="37"/>
      <c r="AR43" s="37"/>
      <c r="AS43" s="37"/>
      <c r="AT43" s="37"/>
      <c r="AU43" s="37"/>
      <c r="AV43" s="37"/>
      <c r="AW43" s="37"/>
      <c r="AX43" s="37"/>
      <c r="AY43" s="37"/>
      <c r="AZ43" s="37"/>
      <c r="BA43" s="37"/>
      <c r="BB43" s="37"/>
      <c r="BC43" s="37"/>
      <c r="BD43" s="37"/>
      <c r="BE43" s="37"/>
      <c r="BF43" s="37"/>
      <c r="BG43" s="37"/>
      <c r="BH43" s="37"/>
      <c r="BI43" s="37"/>
      <c r="BJ43" s="37"/>
    </row>
    <row r="44" spans="1:62" x14ac:dyDescent="0.3">
      <c r="A44" s="37"/>
      <c r="B44" s="37"/>
      <c r="C44" s="37"/>
      <c r="D44" s="37"/>
      <c r="E44" s="37"/>
      <c r="F44" s="37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  <c r="AA44" s="37"/>
      <c r="AB44" s="37"/>
      <c r="AC44" s="37"/>
      <c r="AD44" s="37"/>
      <c r="AE44" s="37"/>
      <c r="AF44" s="37"/>
      <c r="AG44" s="37"/>
      <c r="AH44" s="37"/>
      <c r="AI44" s="37"/>
      <c r="AJ44" s="37"/>
      <c r="AK44" s="37"/>
      <c r="AL44" s="37"/>
      <c r="AM44" s="37"/>
      <c r="AN44" s="37"/>
      <c r="AO44" s="37"/>
      <c r="AP44" s="37"/>
      <c r="AQ44" s="37"/>
      <c r="AR44" s="37"/>
      <c r="AS44" s="37"/>
      <c r="AT44" s="37"/>
      <c r="AU44" s="37"/>
      <c r="AV44" s="37"/>
      <c r="AW44" s="37"/>
      <c r="AX44" s="37"/>
      <c r="AY44" s="37"/>
      <c r="AZ44" s="37"/>
      <c r="BA44" s="37"/>
      <c r="BB44" s="37"/>
      <c r="BC44" s="37"/>
      <c r="BD44" s="37"/>
      <c r="BE44" s="37"/>
      <c r="BF44" s="37"/>
      <c r="BG44" s="37"/>
      <c r="BH44" s="37"/>
      <c r="BI44" s="37"/>
      <c r="BJ44" s="37"/>
    </row>
    <row r="45" spans="1:62" x14ac:dyDescent="0.3">
      <c r="A45" s="37"/>
      <c r="B45" s="37"/>
      <c r="C45" s="37"/>
      <c r="E45" s="37"/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  <c r="AA45" s="37"/>
      <c r="AB45" s="37"/>
      <c r="AC45" s="37"/>
      <c r="AD45" s="37"/>
      <c r="AE45" s="37"/>
      <c r="AF45" s="37"/>
      <c r="AG45" s="37"/>
      <c r="AH45" s="37"/>
      <c r="AI45" s="37"/>
      <c r="AJ45" s="37"/>
      <c r="AK45" s="37"/>
      <c r="AL45" s="37"/>
      <c r="AM45" s="37"/>
      <c r="AN45" s="37"/>
      <c r="AO45" s="37"/>
      <c r="AP45" s="37"/>
      <c r="AQ45" s="37"/>
      <c r="AR45" s="37"/>
      <c r="AS45" s="37"/>
      <c r="AT45" s="37"/>
      <c r="AU45" s="37"/>
      <c r="AV45" s="37"/>
      <c r="AW45" s="37"/>
      <c r="AX45" s="37"/>
      <c r="AY45" s="37"/>
      <c r="AZ45" s="37"/>
      <c r="BA45" s="37"/>
      <c r="BB45" s="37"/>
      <c r="BC45" s="37"/>
      <c r="BD45" s="37"/>
      <c r="BE45" s="37"/>
      <c r="BF45" s="37"/>
      <c r="BG45" s="37"/>
      <c r="BH45" s="37"/>
      <c r="BI45" s="37"/>
      <c r="BJ45" s="37"/>
    </row>
    <row r="46" spans="1:62" x14ac:dyDescent="0.3">
      <c r="A46" s="37"/>
      <c r="B46" s="37"/>
      <c r="C46" s="37"/>
      <c r="D46" s="37"/>
      <c r="E46" s="37"/>
      <c r="F46" s="37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  <c r="AA46" s="37"/>
      <c r="AB46" s="37"/>
      <c r="AC46" s="37"/>
      <c r="AD46" s="37"/>
      <c r="AE46" s="37"/>
      <c r="AF46" s="37"/>
      <c r="AG46" s="37"/>
      <c r="AH46" s="37"/>
      <c r="AI46" s="37"/>
      <c r="AJ46" s="37"/>
      <c r="AK46" s="37"/>
      <c r="AL46" s="37"/>
      <c r="AM46" s="37"/>
      <c r="AN46" s="37"/>
      <c r="AO46" s="37"/>
      <c r="AP46" s="37"/>
      <c r="AQ46" s="37"/>
      <c r="AR46" s="37"/>
      <c r="AS46" s="37"/>
      <c r="AT46" s="37"/>
      <c r="AU46" s="37"/>
      <c r="AV46" s="37"/>
      <c r="AW46" s="37"/>
      <c r="AX46" s="37"/>
      <c r="AY46" s="37"/>
      <c r="AZ46" s="37"/>
      <c r="BA46" s="37"/>
      <c r="BB46" s="37"/>
      <c r="BC46" s="37"/>
      <c r="BD46" s="37"/>
      <c r="BE46" s="37"/>
      <c r="BF46" s="37"/>
      <c r="BG46" s="37"/>
      <c r="BH46" s="37"/>
      <c r="BI46" s="37"/>
      <c r="BJ46" s="37"/>
    </row>
    <row r="47" spans="1:62" x14ac:dyDescent="0.3">
      <c r="A47" s="37"/>
      <c r="B47" s="37"/>
      <c r="C47" s="37"/>
      <c r="D47" s="37"/>
      <c r="E47" s="37"/>
      <c r="F47" s="37"/>
      <c r="G47" s="37"/>
      <c r="H47" s="37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  <c r="AA47" s="37"/>
      <c r="AB47" s="37"/>
      <c r="AC47" s="37"/>
      <c r="AD47" s="37"/>
      <c r="AE47" s="37"/>
      <c r="AF47" s="37"/>
      <c r="AG47" s="37"/>
      <c r="AH47" s="37"/>
      <c r="AI47" s="37"/>
      <c r="AJ47" s="37"/>
      <c r="AK47" s="37"/>
      <c r="AL47" s="37"/>
      <c r="AM47" s="37"/>
      <c r="AN47" s="37"/>
      <c r="AO47" s="37"/>
      <c r="AP47" s="37"/>
      <c r="AQ47" s="37"/>
      <c r="AR47" s="37"/>
      <c r="AS47" s="37"/>
      <c r="AT47" s="37"/>
      <c r="AU47" s="37"/>
      <c r="AV47" s="37"/>
      <c r="AW47" s="37"/>
      <c r="AX47" s="37"/>
      <c r="AY47" s="37"/>
      <c r="AZ47" s="37"/>
      <c r="BA47" s="37"/>
      <c r="BB47" s="37"/>
      <c r="BC47" s="37"/>
      <c r="BD47" s="37"/>
      <c r="BE47" s="37"/>
      <c r="BF47" s="37"/>
      <c r="BG47" s="37"/>
      <c r="BH47" s="37"/>
      <c r="BI47" s="37"/>
      <c r="BJ47" s="37"/>
    </row>
    <row r="48" spans="1:62" x14ac:dyDescent="0.3">
      <c r="A48" s="37"/>
      <c r="B48" s="37"/>
      <c r="C48" s="37"/>
      <c r="D48" s="37"/>
      <c r="E48" s="37"/>
      <c r="F48" s="37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  <c r="AA48" s="37"/>
      <c r="AB48" s="37"/>
      <c r="AC48" s="37"/>
      <c r="AD48" s="37"/>
      <c r="AE48" s="37"/>
      <c r="AF48" s="37"/>
      <c r="AG48" s="37"/>
      <c r="AH48" s="37"/>
      <c r="AI48" s="37"/>
      <c r="AJ48" s="37"/>
      <c r="AK48" s="37"/>
      <c r="AL48" s="37"/>
      <c r="AM48" s="37"/>
      <c r="AN48" s="37"/>
      <c r="AO48" s="37"/>
      <c r="AP48" s="37"/>
      <c r="AQ48" s="37"/>
      <c r="AR48" s="37"/>
      <c r="AS48" s="37"/>
      <c r="AT48" s="37"/>
      <c r="AU48" s="37"/>
      <c r="AV48" s="37"/>
      <c r="AW48" s="37"/>
      <c r="AX48" s="37"/>
      <c r="AY48" s="37"/>
      <c r="AZ48" s="37"/>
      <c r="BA48" s="37"/>
      <c r="BB48" s="37"/>
      <c r="BC48" s="37"/>
      <c r="BD48" s="37"/>
      <c r="BE48" s="37"/>
      <c r="BF48" s="37"/>
      <c r="BG48" s="37"/>
      <c r="BH48" s="37"/>
      <c r="BI48" s="37"/>
      <c r="BJ48" s="37"/>
    </row>
    <row r="49" spans="1:4" x14ac:dyDescent="0.3">
      <c r="A49" s="37"/>
      <c r="B49" s="37"/>
      <c r="C49" s="37"/>
      <c r="D49" s="37"/>
    </row>
  </sheetData>
  <mergeCells count="1">
    <mergeCell ref="F5:H5"/>
  </mergeCells>
  <conditionalFormatting sqref="J7:AM26">
    <cfRule type="containsText" dxfId="47" priority="1" operator="containsText" text="P">
      <formula>NOT(ISERROR(SEARCH("P",J7)))</formula>
    </cfRule>
    <cfRule type="containsText" dxfId="46" priority="2" operator="containsText" text="L">
      <formula>NOT(ISERROR(SEARCH("L",J7)))</formula>
    </cfRule>
    <cfRule type="containsText" dxfId="45" priority="3" operator="containsText" text="A">
      <formula>NOT(ISERROR(SEARCH("A",J7)))</formula>
    </cfRule>
    <cfRule type="containsText" dxfId="44" priority="4" operator="containsText" text="WO">
      <formula>NOT(ISERROR(SEARCH("WO",J7)))</formula>
    </cfRule>
    <cfRule type="containsText" dxfId="43" priority="5" operator="containsText" text="WO">
      <formula>NOT(ISERROR(SEARCH("WO",J7)))</formula>
    </cfRule>
  </conditionalFormatting>
  <dataValidations count="2">
    <dataValidation type="list" allowBlank="1" showInputMessage="1" showErrorMessage="1" sqref="J7:J26 L7:Q26 S7:X26 Z7:AE26 AG7:AL26">
      <formula1>"P,A,L"</formula1>
    </dataValidation>
    <dataValidation type="list" allowBlank="1" showInputMessage="1" showErrorMessage="1" sqref="H4">
      <formula1>#REF!</formula1>
    </dataValidation>
  </dataValidations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NOV!AS7:AV7</xm:f>
              <xm:sqref>BC7</xm:sqref>
            </x14:sparkline>
            <x14:sparkline>
              <xm:f>NOV!AS8:AV8</xm:f>
              <xm:sqref>BC8</xm:sqref>
            </x14:sparkline>
            <x14:sparkline>
              <xm:f>NOV!AS9:AV9</xm:f>
              <xm:sqref>BC9</xm:sqref>
            </x14:sparkline>
            <x14:sparkline>
              <xm:f>NOV!AS10:AV10</xm:f>
              <xm:sqref>BC10</xm:sqref>
            </x14:sparkline>
            <x14:sparkline>
              <xm:f>NOV!AS11:AV11</xm:f>
              <xm:sqref>BC11</xm:sqref>
            </x14:sparkline>
            <x14:sparkline>
              <xm:f>NOV!AS12:AV12</xm:f>
              <xm:sqref>BC12</xm:sqref>
            </x14:sparkline>
            <x14:sparkline>
              <xm:f>NOV!AS13:AV13</xm:f>
              <xm:sqref>BC13</xm:sqref>
            </x14:sparkline>
            <x14:sparkline>
              <xm:f>NOV!AS14:AV14</xm:f>
              <xm:sqref>BC14</xm:sqref>
            </x14:sparkline>
            <x14:sparkline>
              <xm:f>NOV!AS15:AV15</xm:f>
              <xm:sqref>BC15</xm:sqref>
            </x14:sparkline>
            <x14:sparkline>
              <xm:f>NOV!AS16:AV16</xm:f>
              <xm:sqref>BC16</xm:sqref>
            </x14:sparkline>
            <x14:sparkline>
              <xm:f>NOV!AS17:AV17</xm:f>
              <xm:sqref>BC17</xm:sqref>
            </x14:sparkline>
            <x14:sparkline>
              <xm:f>NOV!AS18:AV18</xm:f>
              <xm:sqref>BC18</xm:sqref>
            </x14:sparkline>
            <x14:sparkline>
              <xm:f>NOV!AS19:AV19</xm:f>
              <xm:sqref>BC19</xm:sqref>
            </x14:sparkline>
            <x14:sparkline>
              <xm:f>NOV!AS20:AV20</xm:f>
              <xm:sqref>BC20</xm:sqref>
            </x14:sparkline>
            <x14:sparkline>
              <xm:f>NOV!AS21:AV21</xm:f>
              <xm:sqref>BC21</xm:sqref>
            </x14:sparkline>
            <x14:sparkline>
              <xm:f>NOV!AS22:AV22</xm:f>
              <xm:sqref>BC22</xm:sqref>
            </x14:sparkline>
            <x14:sparkline>
              <xm:f>NOV!AS23:AV23</xm:f>
              <xm:sqref>BC23</xm:sqref>
            </x14:sparkline>
            <x14:sparkline>
              <xm:f>NOV!AS24:AV24</xm:f>
              <xm:sqref>BC24</xm:sqref>
            </x14:sparkline>
            <x14:sparkline>
              <xm:f>NOV!AS25:AV25</xm:f>
              <xm:sqref>BC25</xm:sqref>
            </x14:sparkline>
            <x14:sparkline>
              <xm:f>NOV!AS26:AV26</xm:f>
              <xm:sqref>BC26</xm:sqref>
            </x14:sparkline>
          </x14:sparklines>
        </x14:sparklineGroup>
      </x14:sparklineGroup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49"/>
  <sheetViews>
    <sheetView tabSelected="1" zoomScaleNormal="100" workbookViewId="0">
      <selection activeCell="L7" sqref="L7"/>
    </sheetView>
  </sheetViews>
  <sheetFormatPr defaultColWidth="9.109375" defaultRowHeight="14.4" x14ac:dyDescent="0.3"/>
  <cols>
    <col min="1" max="6" width="9.109375" style="7"/>
    <col min="7" max="7" width="11.6640625" style="7" bestFit="1" customWidth="1"/>
    <col min="8" max="8" width="20.109375" style="7" bestFit="1" customWidth="1"/>
    <col min="9" max="9" width="9.109375" style="7"/>
    <col min="10" max="10" width="5.33203125" style="7" bestFit="1" customWidth="1"/>
    <col min="11" max="11" width="6" style="7" customWidth="1"/>
    <col min="12" max="12" width="5" style="7" bestFit="1" customWidth="1"/>
    <col min="13" max="14" width="4.33203125" style="7" bestFit="1" customWidth="1"/>
    <col min="15" max="15" width="6.5546875" style="7" customWidth="1"/>
    <col min="16" max="16" width="4.33203125" style="7" bestFit="1" customWidth="1"/>
    <col min="17" max="17" width="5.109375" style="7" bestFit="1" customWidth="1"/>
    <col min="18" max="18" width="4.33203125" style="7" bestFit="1" customWidth="1"/>
    <col min="19" max="19" width="5" style="7" bestFit="1" customWidth="1"/>
    <col min="20" max="20" width="4.33203125" style="7" bestFit="1" customWidth="1"/>
    <col min="21" max="21" width="5.109375" style="7" bestFit="1" customWidth="1"/>
    <col min="22" max="22" width="5" style="7" bestFit="1" customWidth="1"/>
    <col min="23" max="23" width="4.33203125" style="7" bestFit="1" customWidth="1"/>
    <col min="24" max="24" width="5.109375" style="7" bestFit="1" customWidth="1"/>
    <col min="25" max="25" width="4.33203125" style="7" bestFit="1" customWidth="1"/>
    <col min="26" max="26" width="5" style="7" bestFit="1" customWidth="1"/>
    <col min="27" max="27" width="4.33203125" style="7" bestFit="1" customWidth="1"/>
    <col min="28" max="28" width="5.109375" style="7" bestFit="1" customWidth="1"/>
    <col min="29" max="29" width="5" style="7" bestFit="1" customWidth="1"/>
    <col min="30" max="30" width="4.33203125" style="7" bestFit="1" customWidth="1"/>
    <col min="31" max="31" width="5.109375" style="7" bestFit="1" customWidth="1"/>
    <col min="32" max="32" width="4.33203125" style="7" bestFit="1" customWidth="1"/>
    <col min="33" max="33" width="5" style="7" bestFit="1" customWidth="1"/>
    <col min="34" max="34" width="4.33203125" style="7" bestFit="1" customWidth="1"/>
    <col min="35" max="35" width="5.109375" style="7" bestFit="1" customWidth="1"/>
    <col min="36" max="37" width="4.33203125" style="7" bestFit="1" customWidth="1"/>
    <col min="38" max="38" width="5.109375" style="7" bestFit="1" customWidth="1"/>
    <col min="39" max="39" width="4.33203125" style="7" bestFit="1" customWidth="1"/>
    <col min="40" max="40" width="5.33203125" style="7" bestFit="1" customWidth="1"/>
    <col min="41" max="41" width="9.109375" style="7"/>
    <col min="42" max="42" width="9.33203125" style="7" bestFit="1" customWidth="1"/>
    <col min="43" max="44" width="14.33203125" style="7" customWidth="1"/>
    <col min="45" max="45" width="18" style="7" customWidth="1"/>
    <col min="46" max="46" width="10.5546875" style="7" customWidth="1"/>
    <col min="47" max="47" width="9.88671875" style="7" customWidth="1"/>
    <col min="48" max="48" width="9.33203125" style="7" bestFit="1" customWidth="1"/>
    <col min="49" max="49" width="12.109375" style="7" customWidth="1"/>
    <col min="50" max="50" width="9.33203125" style="7" bestFit="1" customWidth="1"/>
    <col min="51" max="51" width="11.88671875" style="7" customWidth="1"/>
    <col min="52" max="52" width="14.33203125" style="7" bestFit="1" customWidth="1"/>
    <col min="53" max="53" width="15.44140625" style="7" customWidth="1"/>
    <col min="54" max="54" width="12.88671875" style="7" customWidth="1"/>
    <col min="55" max="55" width="14.5546875" style="7" bestFit="1" customWidth="1"/>
    <col min="56" max="56" width="13.5546875" style="7" customWidth="1"/>
    <col min="57" max="16384" width="9.109375" style="7"/>
  </cols>
  <sheetData>
    <row r="1" spans="4:68" x14ac:dyDescent="0.3">
      <c r="AO1" s="37"/>
      <c r="BE1" s="37"/>
      <c r="BF1" s="37"/>
      <c r="BG1" s="37"/>
      <c r="BH1" s="37"/>
      <c r="BI1" s="37"/>
      <c r="BJ1" s="37"/>
      <c r="BK1" s="37"/>
    </row>
    <row r="2" spans="4:68" x14ac:dyDescent="0.3">
      <c r="AO2" s="37"/>
      <c r="BE2" s="37"/>
      <c r="BF2" s="37"/>
      <c r="BG2" s="37"/>
      <c r="BH2" s="37"/>
      <c r="BI2" s="37"/>
      <c r="BJ2" s="37"/>
      <c r="BK2" s="37"/>
    </row>
    <row r="3" spans="4:68" x14ac:dyDescent="0.3"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  <c r="AA3" s="37"/>
      <c r="AB3" s="37"/>
      <c r="AC3" s="37"/>
      <c r="AD3" s="37"/>
      <c r="AE3" s="37"/>
      <c r="AF3" s="37"/>
      <c r="AG3" s="37"/>
      <c r="AH3" s="37"/>
      <c r="AI3" s="37"/>
      <c r="AJ3" s="37"/>
      <c r="AK3" s="37"/>
      <c r="AL3" s="37"/>
      <c r="AM3" s="37"/>
      <c r="AN3" s="37"/>
      <c r="AO3" s="37"/>
      <c r="AP3" s="37"/>
      <c r="AQ3" s="37"/>
      <c r="AR3" s="37"/>
      <c r="AS3" s="37"/>
      <c r="AT3" s="37"/>
      <c r="AU3" s="37"/>
      <c r="AV3" s="37"/>
      <c r="AW3" s="37"/>
      <c r="AX3" s="37"/>
      <c r="AY3" s="37"/>
      <c r="AZ3" s="37"/>
      <c r="BA3" s="37"/>
      <c r="BB3" s="37"/>
      <c r="BC3" s="37"/>
      <c r="BD3" s="37"/>
      <c r="BE3" s="37"/>
      <c r="BF3" s="37"/>
      <c r="BG3" s="37"/>
      <c r="BH3" s="37"/>
      <c r="BI3" s="37"/>
      <c r="BJ3" s="37"/>
      <c r="BK3" s="37"/>
      <c r="BL3" s="37"/>
      <c r="BM3" s="37"/>
      <c r="BN3" s="37"/>
      <c r="BO3" s="37"/>
      <c r="BP3" s="37"/>
    </row>
    <row r="4" spans="4:68" ht="15" thickBot="1" x14ac:dyDescent="0.35">
      <c r="D4" s="37"/>
      <c r="E4" s="41"/>
      <c r="F4" s="41"/>
      <c r="G4" s="42" t="s">
        <v>26</v>
      </c>
      <c r="H4" s="43">
        <v>45992</v>
      </c>
      <c r="I4" s="42"/>
      <c r="J4" s="42" t="s">
        <v>27</v>
      </c>
      <c r="K4" s="43">
        <f>EOMONTH(H4,0)</f>
        <v>46022</v>
      </c>
      <c r="L4" s="42"/>
      <c r="M4" s="42"/>
      <c r="N4" s="42">
        <f>(DATEDIF($H$4,$K$4,"D"))+1</f>
        <v>31</v>
      </c>
      <c r="O4" s="44" t="str">
        <f>TEXT(H4,"MMMM")</f>
        <v>December</v>
      </c>
      <c r="P4" s="42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41"/>
      <c r="AC4" s="41"/>
      <c r="AD4" s="41"/>
      <c r="AE4" s="41"/>
      <c r="AF4" s="41"/>
      <c r="AG4" s="41"/>
      <c r="AH4" s="41"/>
      <c r="AI4" s="41"/>
      <c r="AJ4" s="41"/>
      <c r="AK4" s="41"/>
      <c r="AL4" s="41"/>
      <c r="AM4" s="41"/>
      <c r="AN4" s="41"/>
      <c r="AO4" s="37"/>
      <c r="AP4" s="37"/>
      <c r="AQ4" s="37"/>
      <c r="AR4" s="37"/>
      <c r="AS4" s="37"/>
      <c r="AT4" s="37"/>
      <c r="AU4" s="37"/>
      <c r="AV4" s="38"/>
      <c r="AW4" s="37"/>
      <c r="AX4" s="37"/>
      <c r="AY4" s="37"/>
      <c r="AZ4" s="37"/>
      <c r="BA4" s="37"/>
      <c r="BB4" s="37"/>
      <c r="BC4" s="37"/>
      <c r="BD4" s="37"/>
      <c r="BE4" s="37"/>
      <c r="BF4" s="37"/>
      <c r="BG4" s="37"/>
      <c r="BH4" s="37"/>
      <c r="BI4" s="37"/>
      <c r="BJ4" s="37"/>
      <c r="BK4" s="37"/>
      <c r="BL4" s="37"/>
      <c r="BM4" s="37"/>
      <c r="BN4" s="37"/>
      <c r="BO4" s="37"/>
      <c r="BP4" s="37"/>
    </row>
    <row r="5" spans="4:68" ht="15" thickBot="1" x14ac:dyDescent="0.35">
      <c r="D5" s="37"/>
      <c r="E5" s="41"/>
      <c r="F5" s="88" t="s">
        <v>40</v>
      </c>
      <c r="G5" s="89"/>
      <c r="H5" s="89"/>
      <c r="I5" s="8" t="s">
        <v>29</v>
      </c>
      <c r="J5" s="8" t="str">
        <f>TEXT(J6,"DDD")</f>
        <v>Mon</v>
      </c>
      <c r="K5" s="8" t="str">
        <f t="shared" ref="K5:AN5" si="0">TEXT(K6,"DDD")</f>
        <v>Tue</v>
      </c>
      <c r="L5" s="8" t="str">
        <f t="shared" si="0"/>
        <v>Wed</v>
      </c>
      <c r="M5" s="8" t="str">
        <f t="shared" si="0"/>
        <v>Thu</v>
      </c>
      <c r="N5" s="8" t="str">
        <f t="shared" si="0"/>
        <v>Fri</v>
      </c>
      <c r="O5" s="8" t="str">
        <f t="shared" si="0"/>
        <v>Sat</v>
      </c>
      <c r="P5" s="8" t="str">
        <f t="shared" si="0"/>
        <v>Sun</v>
      </c>
      <c r="Q5" s="8" t="str">
        <f t="shared" si="0"/>
        <v>Mon</v>
      </c>
      <c r="R5" s="8" t="str">
        <f t="shared" si="0"/>
        <v>Tue</v>
      </c>
      <c r="S5" s="8" t="str">
        <f t="shared" si="0"/>
        <v>Wed</v>
      </c>
      <c r="T5" s="8" t="str">
        <f t="shared" si="0"/>
        <v>Thu</v>
      </c>
      <c r="U5" s="8" t="str">
        <f t="shared" si="0"/>
        <v>Fri</v>
      </c>
      <c r="V5" s="8" t="str">
        <f t="shared" si="0"/>
        <v>Sat</v>
      </c>
      <c r="W5" s="8" t="str">
        <f t="shared" si="0"/>
        <v>Sun</v>
      </c>
      <c r="X5" s="8" t="str">
        <f t="shared" si="0"/>
        <v>Mon</v>
      </c>
      <c r="Y5" s="8" t="str">
        <f t="shared" si="0"/>
        <v>Tue</v>
      </c>
      <c r="Z5" s="8" t="str">
        <f t="shared" si="0"/>
        <v>Wed</v>
      </c>
      <c r="AA5" s="8" t="str">
        <f t="shared" si="0"/>
        <v>Thu</v>
      </c>
      <c r="AB5" s="8" t="str">
        <f t="shared" si="0"/>
        <v>Fri</v>
      </c>
      <c r="AC5" s="8" t="str">
        <f t="shared" si="0"/>
        <v>Sat</v>
      </c>
      <c r="AD5" s="8" t="str">
        <f t="shared" si="0"/>
        <v>Sun</v>
      </c>
      <c r="AE5" s="8" t="str">
        <f t="shared" si="0"/>
        <v>Mon</v>
      </c>
      <c r="AF5" s="8" t="str">
        <f t="shared" si="0"/>
        <v>Tue</v>
      </c>
      <c r="AG5" s="8" t="str">
        <f t="shared" si="0"/>
        <v>Wed</v>
      </c>
      <c r="AH5" s="8" t="str">
        <f t="shared" si="0"/>
        <v>Thu</v>
      </c>
      <c r="AI5" s="8" t="str">
        <f t="shared" si="0"/>
        <v>Fri</v>
      </c>
      <c r="AJ5" s="8" t="str">
        <f t="shared" si="0"/>
        <v>Sat</v>
      </c>
      <c r="AK5" s="8" t="str">
        <f t="shared" si="0"/>
        <v>Sun</v>
      </c>
      <c r="AL5" s="8" t="str">
        <f t="shared" si="0"/>
        <v>Mon</v>
      </c>
      <c r="AM5" s="8" t="str">
        <f t="shared" si="0"/>
        <v>Tue</v>
      </c>
      <c r="AN5" s="9" t="str">
        <f t="shared" si="0"/>
        <v>Wed</v>
      </c>
      <c r="AO5" s="39"/>
      <c r="AP5" s="39"/>
      <c r="AQ5" s="39"/>
      <c r="AR5" s="39"/>
      <c r="AS5" s="39"/>
      <c r="AT5" s="39"/>
      <c r="AU5" s="39"/>
      <c r="AV5" s="39"/>
      <c r="AW5" s="39"/>
      <c r="AX5" s="39"/>
      <c r="AY5" s="39"/>
      <c r="AZ5" s="39"/>
      <c r="BA5" s="39"/>
      <c r="BB5" s="39"/>
      <c r="BC5" s="39"/>
      <c r="BD5" s="39"/>
      <c r="BE5" s="39"/>
      <c r="BF5" s="37"/>
      <c r="BG5" s="37"/>
      <c r="BH5" s="37"/>
      <c r="BI5" s="37"/>
      <c r="BJ5" s="37"/>
      <c r="BK5" s="37"/>
    </row>
    <row r="6" spans="4:68" ht="18.600000000000001" thickBot="1" x14ac:dyDescent="0.35">
      <c r="D6" s="37"/>
      <c r="E6" s="41"/>
      <c r="F6" s="10" t="s">
        <v>24</v>
      </c>
      <c r="G6" s="11" t="s">
        <v>23</v>
      </c>
      <c r="H6" s="12" t="s">
        <v>25</v>
      </c>
      <c r="I6" s="13" t="s">
        <v>28</v>
      </c>
      <c r="J6" s="14">
        <f>H4</f>
        <v>45992</v>
      </c>
      <c r="K6" s="14">
        <f>IF(J6&lt;$K$4,J6+1,"")</f>
        <v>45993</v>
      </c>
      <c r="L6" s="14">
        <f t="shared" ref="L6:AL6" si="1">IF(K6&lt;$K$4,K6+1,"")</f>
        <v>45994</v>
      </c>
      <c r="M6" s="14">
        <f t="shared" si="1"/>
        <v>45995</v>
      </c>
      <c r="N6" s="14">
        <f t="shared" si="1"/>
        <v>45996</v>
      </c>
      <c r="O6" s="14">
        <f t="shared" si="1"/>
        <v>45997</v>
      </c>
      <c r="P6" s="14">
        <f t="shared" si="1"/>
        <v>45998</v>
      </c>
      <c r="Q6" s="14">
        <f t="shared" si="1"/>
        <v>45999</v>
      </c>
      <c r="R6" s="14">
        <f t="shared" si="1"/>
        <v>46000</v>
      </c>
      <c r="S6" s="14">
        <f t="shared" si="1"/>
        <v>46001</v>
      </c>
      <c r="T6" s="14">
        <f t="shared" si="1"/>
        <v>46002</v>
      </c>
      <c r="U6" s="14">
        <f t="shared" si="1"/>
        <v>46003</v>
      </c>
      <c r="V6" s="14">
        <f t="shared" si="1"/>
        <v>46004</v>
      </c>
      <c r="W6" s="14">
        <f t="shared" si="1"/>
        <v>46005</v>
      </c>
      <c r="X6" s="14">
        <f t="shared" si="1"/>
        <v>46006</v>
      </c>
      <c r="Y6" s="14">
        <f t="shared" si="1"/>
        <v>46007</v>
      </c>
      <c r="Z6" s="14">
        <f t="shared" si="1"/>
        <v>46008</v>
      </c>
      <c r="AA6" s="14">
        <f t="shared" si="1"/>
        <v>46009</v>
      </c>
      <c r="AB6" s="14">
        <f t="shared" si="1"/>
        <v>46010</v>
      </c>
      <c r="AC6" s="14">
        <f t="shared" si="1"/>
        <v>46011</v>
      </c>
      <c r="AD6" s="14">
        <f t="shared" si="1"/>
        <v>46012</v>
      </c>
      <c r="AE6" s="14">
        <f t="shared" si="1"/>
        <v>46013</v>
      </c>
      <c r="AF6" s="14">
        <f t="shared" si="1"/>
        <v>46014</v>
      </c>
      <c r="AG6" s="14">
        <f t="shared" si="1"/>
        <v>46015</v>
      </c>
      <c r="AH6" s="14">
        <f t="shared" si="1"/>
        <v>46016</v>
      </c>
      <c r="AI6" s="14">
        <f t="shared" si="1"/>
        <v>46017</v>
      </c>
      <c r="AJ6" s="14">
        <f t="shared" si="1"/>
        <v>46018</v>
      </c>
      <c r="AK6" s="14">
        <f t="shared" si="1"/>
        <v>46019</v>
      </c>
      <c r="AL6" s="14">
        <f t="shared" si="1"/>
        <v>46020</v>
      </c>
      <c r="AM6" s="14">
        <f t="shared" ref="AM6:AN6" si="2">IF(AL6&lt;=$K$4,AL6+1,"")</f>
        <v>46021</v>
      </c>
      <c r="AN6" s="15">
        <f t="shared" si="2"/>
        <v>46022</v>
      </c>
      <c r="AO6" s="40"/>
      <c r="AP6" s="34" t="s">
        <v>24</v>
      </c>
      <c r="AQ6" s="35" t="s">
        <v>23</v>
      </c>
      <c r="AR6" s="35" t="s">
        <v>41</v>
      </c>
      <c r="AS6" s="35" t="s">
        <v>25</v>
      </c>
      <c r="AT6" s="35" t="s">
        <v>30</v>
      </c>
      <c r="AU6" s="35" t="s">
        <v>31</v>
      </c>
      <c r="AV6" s="35" t="s">
        <v>32</v>
      </c>
      <c r="AW6" s="35" t="s">
        <v>38</v>
      </c>
      <c r="AX6" s="35" t="s">
        <v>29</v>
      </c>
      <c r="AY6" s="35" t="s">
        <v>33</v>
      </c>
      <c r="AZ6" s="35" t="s">
        <v>34</v>
      </c>
      <c r="BA6" s="35" t="s">
        <v>35</v>
      </c>
      <c r="BB6" s="35" t="s">
        <v>36</v>
      </c>
      <c r="BC6" s="35" t="s">
        <v>37</v>
      </c>
      <c r="BD6" s="36" t="s">
        <v>39</v>
      </c>
      <c r="BE6" s="39"/>
      <c r="BF6" s="37"/>
      <c r="BG6" s="37"/>
      <c r="BH6" s="37"/>
      <c r="BI6" s="37"/>
      <c r="BJ6" s="37"/>
      <c r="BK6" s="37"/>
    </row>
    <row r="7" spans="4:68" x14ac:dyDescent="0.3">
      <c r="D7" s="37"/>
      <c r="E7" s="41"/>
      <c r="F7" s="16">
        <v>1</v>
      </c>
      <c r="G7" s="17">
        <v>1001</v>
      </c>
      <c r="H7" s="18" t="s">
        <v>3</v>
      </c>
      <c r="I7" s="45">
        <f>COUNTIF($J$5:$AN$5,"SUN")</f>
        <v>4</v>
      </c>
      <c r="J7" s="48" t="s">
        <v>42</v>
      </c>
      <c r="K7" s="48" t="s">
        <v>43</v>
      </c>
      <c r="L7" s="48" t="s">
        <v>43</v>
      </c>
      <c r="M7" s="48" t="s">
        <v>42</v>
      </c>
      <c r="N7" s="48" t="s">
        <v>42</v>
      </c>
      <c r="O7" s="48" t="s">
        <v>42</v>
      </c>
      <c r="P7" s="48" t="str">
        <f t="shared" ref="P7:AK15" si="3">IF(P$5="Sun","WO","")</f>
        <v>WO</v>
      </c>
      <c r="Q7" s="48" t="s">
        <v>42</v>
      </c>
      <c r="R7" s="48" t="s">
        <v>42</v>
      </c>
      <c r="S7" s="48" t="s">
        <v>42</v>
      </c>
      <c r="T7" s="48" t="s">
        <v>44</v>
      </c>
      <c r="U7" s="48" t="s">
        <v>42</v>
      </c>
      <c r="V7" s="48" t="s">
        <v>42</v>
      </c>
      <c r="W7" s="48" t="str">
        <f t="shared" si="3"/>
        <v>WO</v>
      </c>
      <c r="X7" s="48" t="s">
        <v>42</v>
      </c>
      <c r="Y7" s="48" t="s">
        <v>42</v>
      </c>
      <c r="Z7" s="48" t="s">
        <v>42</v>
      </c>
      <c r="AA7" s="48" t="s">
        <v>42</v>
      </c>
      <c r="AB7" s="48" t="s">
        <v>42</v>
      </c>
      <c r="AC7" s="48" t="s">
        <v>44</v>
      </c>
      <c r="AD7" s="48" t="str">
        <f t="shared" si="3"/>
        <v>WO</v>
      </c>
      <c r="AE7" s="48" t="s">
        <v>42</v>
      </c>
      <c r="AF7" s="48" t="s">
        <v>42</v>
      </c>
      <c r="AG7" s="48" t="s">
        <v>42</v>
      </c>
      <c r="AH7" s="48" t="s">
        <v>42</v>
      </c>
      <c r="AI7" s="48" t="s">
        <v>44</v>
      </c>
      <c r="AJ7" s="48" t="s">
        <v>42</v>
      </c>
      <c r="AK7" s="48" t="str">
        <f t="shared" si="3"/>
        <v>WO</v>
      </c>
      <c r="AL7" s="48" t="s">
        <v>42</v>
      </c>
      <c r="AM7" s="48" t="s">
        <v>42</v>
      </c>
      <c r="AN7" s="49" t="s">
        <v>42</v>
      </c>
      <c r="AO7" s="39"/>
      <c r="AP7" s="28">
        <v>1</v>
      </c>
      <c r="AQ7" s="21">
        <v>1001</v>
      </c>
      <c r="AR7" s="33" t="str">
        <f t="shared" ref="AR7:AR26" si="4">$O$4</f>
        <v>December</v>
      </c>
      <c r="AS7" s="21" t="s">
        <v>3</v>
      </c>
      <c r="AT7" s="29">
        <f t="shared" ref="AT7:AT26" si="5">COUNTIF($J7:$AN7,"*P*")</f>
        <v>22</v>
      </c>
      <c r="AU7" s="29">
        <f t="shared" ref="AU7:AU26" si="6">COUNTIF($J7:$AN7,"*A*")</f>
        <v>2</v>
      </c>
      <c r="AV7" s="29">
        <f t="shared" ref="AV7:AV26" si="7">COUNTIF($J7:$AN7,"*L*")</f>
        <v>3</v>
      </c>
      <c r="AW7" s="29">
        <f t="shared" ref="AW7:AW26" si="8">I7</f>
        <v>4</v>
      </c>
      <c r="AX7" s="30">
        <f>$N$4</f>
        <v>31</v>
      </c>
      <c r="AY7" s="29">
        <f>DECReport[[#This Row],[Days]]-DECReport[[#This Row],[Adsent]]</f>
        <v>29</v>
      </c>
      <c r="AZ7" s="31">
        <v>10000</v>
      </c>
      <c r="BA7" s="32">
        <f>DECReport[[#This Row],[Salary]]/DECReport[[#This Row],[Days]]</f>
        <v>322.58064516129031</v>
      </c>
      <c r="BB7" s="31">
        <f>DECReport[[#This Row],[Perday salary]]*DECReport[[#This Row],[Adsent]]</f>
        <v>645.16129032258061</v>
      </c>
      <c r="BC7" s="31">
        <f>DECReport[[#This Row],[Salary]]-DECReport[[#This Row],[Detuction ]]</f>
        <v>9354.8387096774186</v>
      </c>
      <c r="BD7" s="29"/>
      <c r="BE7" s="39"/>
      <c r="BF7" s="37"/>
      <c r="BG7" s="37"/>
      <c r="BH7" s="37"/>
      <c r="BI7" s="37"/>
      <c r="BJ7" s="37"/>
      <c r="BK7" s="37"/>
    </row>
    <row r="8" spans="4:68" x14ac:dyDescent="0.3">
      <c r="D8" s="37"/>
      <c r="E8" s="41"/>
      <c r="F8" s="20">
        <v>2</v>
      </c>
      <c r="G8" s="21">
        <v>1002</v>
      </c>
      <c r="H8" s="22" t="s">
        <v>4</v>
      </c>
      <c r="I8" s="46">
        <f t="shared" ref="I8:I26" si="9">COUNTIF($J$5:$AN$5,"SUN")</f>
        <v>4</v>
      </c>
      <c r="J8" s="50" t="s">
        <v>42</v>
      </c>
      <c r="K8" s="50" t="s">
        <v>42</v>
      </c>
      <c r="L8" s="50" t="s">
        <v>42</v>
      </c>
      <c r="M8" s="50" t="s">
        <v>42</v>
      </c>
      <c r="N8" s="50" t="s">
        <v>42</v>
      </c>
      <c r="O8" s="50" t="s">
        <v>42</v>
      </c>
      <c r="P8" s="50" t="str">
        <f t="shared" si="3"/>
        <v>WO</v>
      </c>
      <c r="Q8" s="50" t="s">
        <v>42</v>
      </c>
      <c r="R8" s="50" t="s">
        <v>42</v>
      </c>
      <c r="S8" s="50" t="s">
        <v>42</v>
      </c>
      <c r="T8" s="50" t="s">
        <v>44</v>
      </c>
      <c r="U8" s="50" t="s">
        <v>42</v>
      </c>
      <c r="V8" s="50" t="s">
        <v>42</v>
      </c>
      <c r="W8" s="50" t="str">
        <f t="shared" si="3"/>
        <v>WO</v>
      </c>
      <c r="X8" s="50" t="s">
        <v>42</v>
      </c>
      <c r="Y8" s="50" t="s">
        <v>42</v>
      </c>
      <c r="Z8" s="50" t="s">
        <v>42</v>
      </c>
      <c r="AA8" s="50" t="s">
        <v>42</v>
      </c>
      <c r="AB8" s="50" t="s">
        <v>42</v>
      </c>
      <c r="AC8" s="50" t="s">
        <v>44</v>
      </c>
      <c r="AD8" s="50" t="str">
        <f t="shared" si="3"/>
        <v>WO</v>
      </c>
      <c r="AE8" s="50" t="s">
        <v>42</v>
      </c>
      <c r="AF8" s="50" t="s">
        <v>42</v>
      </c>
      <c r="AG8" s="50" t="s">
        <v>42</v>
      </c>
      <c r="AH8" s="50" t="s">
        <v>42</v>
      </c>
      <c r="AI8" s="50" t="s">
        <v>44</v>
      </c>
      <c r="AJ8" s="50" t="s">
        <v>42</v>
      </c>
      <c r="AK8" s="50" t="str">
        <f t="shared" si="3"/>
        <v>WO</v>
      </c>
      <c r="AL8" s="50" t="s">
        <v>42</v>
      </c>
      <c r="AM8" s="50" t="s">
        <v>42</v>
      </c>
      <c r="AN8" s="51" t="s">
        <v>42</v>
      </c>
      <c r="AO8" s="39"/>
      <c r="AP8" s="28">
        <v>2</v>
      </c>
      <c r="AQ8" s="21">
        <v>1002</v>
      </c>
      <c r="AR8" s="33" t="str">
        <f t="shared" si="4"/>
        <v>December</v>
      </c>
      <c r="AS8" s="21" t="s">
        <v>4</v>
      </c>
      <c r="AT8" s="29">
        <f t="shared" si="5"/>
        <v>24</v>
      </c>
      <c r="AU8" s="29">
        <f t="shared" si="6"/>
        <v>0</v>
      </c>
      <c r="AV8" s="29">
        <f t="shared" si="7"/>
        <v>3</v>
      </c>
      <c r="AW8" s="29">
        <f t="shared" si="8"/>
        <v>4</v>
      </c>
      <c r="AX8" s="30">
        <f t="shared" ref="AX8:AX26" si="10">$N$4</f>
        <v>31</v>
      </c>
      <c r="AY8" s="29">
        <f>DECReport[[#This Row],[Days]]-DECReport[[#This Row],[Adsent]]</f>
        <v>31</v>
      </c>
      <c r="AZ8" s="31">
        <v>20000</v>
      </c>
      <c r="BA8" s="32">
        <f>DECReport[[#This Row],[Salary]]/DECReport[[#This Row],[Days]]</f>
        <v>645.16129032258061</v>
      </c>
      <c r="BB8" s="31">
        <f>DECReport[[#This Row],[Perday salary]]*DECReport[[#This Row],[Adsent]]</f>
        <v>0</v>
      </c>
      <c r="BC8" s="31">
        <f>DECReport[[#This Row],[Salary]]-DECReport[[#This Row],[Detuction ]]</f>
        <v>20000</v>
      </c>
      <c r="BD8" s="29"/>
      <c r="BE8" s="39"/>
      <c r="BF8" s="37"/>
      <c r="BG8" s="37"/>
      <c r="BH8" s="37"/>
      <c r="BI8" s="37"/>
      <c r="BJ8" s="37"/>
      <c r="BK8" s="37"/>
    </row>
    <row r="9" spans="4:68" x14ac:dyDescent="0.3">
      <c r="D9" s="37"/>
      <c r="E9" s="41"/>
      <c r="F9" s="20">
        <v>3</v>
      </c>
      <c r="G9" s="21">
        <v>1003</v>
      </c>
      <c r="H9" s="22" t="s">
        <v>5</v>
      </c>
      <c r="I9" s="46">
        <f t="shared" si="9"/>
        <v>4</v>
      </c>
      <c r="J9" s="50" t="s">
        <v>42</v>
      </c>
      <c r="K9" s="50" t="s">
        <v>43</v>
      </c>
      <c r="L9" s="50" t="s">
        <v>42</v>
      </c>
      <c r="M9" s="50" t="s">
        <v>43</v>
      </c>
      <c r="N9" s="50" t="s">
        <v>42</v>
      </c>
      <c r="O9" s="50" t="s">
        <v>42</v>
      </c>
      <c r="P9" s="50" t="str">
        <f t="shared" si="3"/>
        <v>WO</v>
      </c>
      <c r="Q9" s="50" t="s">
        <v>42</v>
      </c>
      <c r="R9" s="50" t="s">
        <v>42</v>
      </c>
      <c r="S9" s="50" t="s">
        <v>42</v>
      </c>
      <c r="T9" s="50" t="s">
        <v>44</v>
      </c>
      <c r="U9" s="50" t="s">
        <v>42</v>
      </c>
      <c r="V9" s="50" t="s">
        <v>42</v>
      </c>
      <c r="W9" s="50" t="str">
        <f t="shared" si="3"/>
        <v>WO</v>
      </c>
      <c r="X9" s="50" t="s">
        <v>42</v>
      </c>
      <c r="Y9" s="50" t="s">
        <v>42</v>
      </c>
      <c r="Z9" s="50" t="s">
        <v>42</v>
      </c>
      <c r="AA9" s="50" t="s">
        <v>42</v>
      </c>
      <c r="AB9" s="50" t="s">
        <v>42</v>
      </c>
      <c r="AC9" s="50" t="s">
        <v>44</v>
      </c>
      <c r="AD9" s="50" t="str">
        <f t="shared" si="3"/>
        <v>WO</v>
      </c>
      <c r="AE9" s="50" t="s">
        <v>42</v>
      </c>
      <c r="AF9" s="50" t="s">
        <v>42</v>
      </c>
      <c r="AG9" s="50" t="s">
        <v>42</v>
      </c>
      <c r="AH9" s="50" t="s">
        <v>42</v>
      </c>
      <c r="AI9" s="50" t="s">
        <v>44</v>
      </c>
      <c r="AJ9" s="50" t="s">
        <v>42</v>
      </c>
      <c r="AK9" s="50" t="str">
        <f t="shared" si="3"/>
        <v>WO</v>
      </c>
      <c r="AL9" s="50" t="s">
        <v>42</v>
      </c>
      <c r="AM9" s="50" t="s">
        <v>42</v>
      </c>
      <c r="AN9" s="51" t="s">
        <v>42</v>
      </c>
      <c r="AO9" s="39"/>
      <c r="AP9" s="28">
        <v>3</v>
      </c>
      <c r="AQ9" s="21">
        <v>1003</v>
      </c>
      <c r="AR9" s="33" t="str">
        <f t="shared" si="4"/>
        <v>December</v>
      </c>
      <c r="AS9" s="21" t="s">
        <v>5</v>
      </c>
      <c r="AT9" s="29">
        <f t="shared" si="5"/>
        <v>22</v>
      </c>
      <c r="AU9" s="29">
        <f t="shared" si="6"/>
        <v>2</v>
      </c>
      <c r="AV9" s="29">
        <f t="shared" si="7"/>
        <v>3</v>
      </c>
      <c r="AW9" s="29">
        <f t="shared" si="8"/>
        <v>4</v>
      </c>
      <c r="AX9" s="30">
        <f t="shared" si="10"/>
        <v>31</v>
      </c>
      <c r="AY9" s="29">
        <f>DECReport[[#This Row],[Days]]-DECReport[[#This Row],[Adsent]]</f>
        <v>29</v>
      </c>
      <c r="AZ9" s="31">
        <v>25000</v>
      </c>
      <c r="BA9" s="32">
        <f>DECReport[[#This Row],[Salary]]/DECReport[[#This Row],[Days]]</f>
        <v>806.45161290322585</v>
      </c>
      <c r="BB9" s="31">
        <f>DECReport[[#This Row],[Perday salary]]*DECReport[[#This Row],[Adsent]]</f>
        <v>1612.9032258064517</v>
      </c>
      <c r="BC9" s="31">
        <f>DECReport[[#This Row],[Salary]]-DECReport[[#This Row],[Detuction ]]</f>
        <v>23387.096774193549</v>
      </c>
      <c r="BD9" s="29"/>
      <c r="BE9" s="39"/>
      <c r="BF9" s="37"/>
      <c r="BG9" s="37"/>
      <c r="BH9" s="37"/>
      <c r="BI9" s="37"/>
      <c r="BJ9" s="37"/>
      <c r="BK9" s="37"/>
    </row>
    <row r="10" spans="4:68" x14ac:dyDescent="0.3">
      <c r="D10" s="37"/>
      <c r="E10" s="41"/>
      <c r="F10" s="20">
        <v>4</v>
      </c>
      <c r="G10" s="21">
        <v>1004</v>
      </c>
      <c r="H10" s="22" t="s">
        <v>6</v>
      </c>
      <c r="I10" s="46">
        <f t="shared" si="9"/>
        <v>4</v>
      </c>
      <c r="J10" s="50" t="s">
        <v>42</v>
      </c>
      <c r="K10" s="50" t="s">
        <v>42</v>
      </c>
      <c r="L10" s="50" t="s">
        <v>42</v>
      </c>
      <c r="M10" s="50" t="s">
        <v>43</v>
      </c>
      <c r="N10" s="50" t="s">
        <v>42</v>
      </c>
      <c r="O10" s="50" t="s">
        <v>42</v>
      </c>
      <c r="P10" s="50" t="str">
        <f t="shared" si="3"/>
        <v>WO</v>
      </c>
      <c r="Q10" s="50" t="s">
        <v>42</v>
      </c>
      <c r="R10" s="50" t="s">
        <v>42</v>
      </c>
      <c r="S10" s="50" t="s">
        <v>42</v>
      </c>
      <c r="T10" s="50" t="s">
        <v>44</v>
      </c>
      <c r="U10" s="50" t="s">
        <v>42</v>
      </c>
      <c r="V10" s="50" t="s">
        <v>42</v>
      </c>
      <c r="W10" s="50" t="str">
        <f t="shared" si="3"/>
        <v>WO</v>
      </c>
      <c r="X10" s="50" t="s">
        <v>42</v>
      </c>
      <c r="Y10" s="50" t="s">
        <v>42</v>
      </c>
      <c r="Z10" s="50" t="s">
        <v>43</v>
      </c>
      <c r="AA10" s="50" t="s">
        <v>42</v>
      </c>
      <c r="AB10" s="50" t="s">
        <v>42</v>
      </c>
      <c r="AC10" s="50" t="s">
        <v>44</v>
      </c>
      <c r="AD10" s="50" t="str">
        <f t="shared" si="3"/>
        <v>WO</v>
      </c>
      <c r="AE10" s="50" t="s">
        <v>42</v>
      </c>
      <c r="AF10" s="50" t="s">
        <v>43</v>
      </c>
      <c r="AG10" s="50" t="s">
        <v>42</v>
      </c>
      <c r="AH10" s="50" t="s">
        <v>42</v>
      </c>
      <c r="AI10" s="50" t="s">
        <v>44</v>
      </c>
      <c r="AJ10" s="50" t="s">
        <v>42</v>
      </c>
      <c r="AK10" s="50" t="str">
        <f t="shared" si="3"/>
        <v>WO</v>
      </c>
      <c r="AL10" s="50" t="s">
        <v>42</v>
      </c>
      <c r="AM10" s="50" t="s">
        <v>42</v>
      </c>
      <c r="AN10" s="51" t="s">
        <v>42</v>
      </c>
      <c r="AO10" s="39"/>
      <c r="AP10" s="28">
        <v>4</v>
      </c>
      <c r="AQ10" s="21">
        <v>1004</v>
      </c>
      <c r="AR10" s="33" t="str">
        <f t="shared" si="4"/>
        <v>December</v>
      </c>
      <c r="AS10" s="21" t="s">
        <v>6</v>
      </c>
      <c r="AT10" s="29">
        <f t="shared" si="5"/>
        <v>21</v>
      </c>
      <c r="AU10" s="29">
        <f t="shared" si="6"/>
        <v>3</v>
      </c>
      <c r="AV10" s="29">
        <f t="shared" si="7"/>
        <v>3</v>
      </c>
      <c r="AW10" s="29">
        <f t="shared" si="8"/>
        <v>4</v>
      </c>
      <c r="AX10" s="30">
        <f t="shared" si="10"/>
        <v>31</v>
      </c>
      <c r="AY10" s="29">
        <f>DECReport[[#This Row],[Days]]-DECReport[[#This Row],[Adsent]]</f>
        <v>28</v>
      </c>
      <c r="AZ10" s="31">
        <v>30000</v>
      </c>
      <c r="BA10" s="32">
        <f>DECReport[[#This Row],[Salary]]/DECReport[[#This Row],[Days]]</f>
        <v>967.74193548387098</v>
      </c>
      <c r="BB10" s="31">
        <f>DECReport[[#This Row],[Perday salary]]*DECReport[[#This Row],[Adsent]]</f>
        <v>2903.2258064516127</v>
      </c>
      <c r="BC10" s="31">
        <f>DECReport[[#This Row],[Salary]]-DECReport[[#This Row],[Detuction ]]</f>
        <v>27096.774193548386</v>
      </c>
      <c r="BD10" s="29"/>
      <c r="BE10" s="39"/>
      <c r="BF10" s="37"/>
      <c r="BG10" s="37"/>
      <c r="BH10" s="37"/>
      <c r="BI10" s="37"/>
      <c r="BJ10" s="37"/>
      <c r="BK10" s="37"/>
    </row>
    <row r="11" spans="4:68" x14ac:dyDescent="0.3">
      <c r="D11" s="37"/>
      <c r="E11" s="41"/>
      <c r="F11" s="20">
        <v>5</v>
      </c>
      <c r="G11" s="21">
        <v>1005</v>
      </c>
      <c r="H11" s="22" t="s">
        <v>7</v>
      </c>
      <c r="I11" s="46">
        <f t="shared" si="9"/>
        <v>4</v>
      </c>
      <c r="J11" s="50" t="s">
        <v>42</v>
      </c>
      <c r="K11" s="50" t="s">
        <v>42</v>
      </c>
      <c r="L11" s="50" t="s">
        <v>42</v>
      </c>
      <c r="M11" s="50" t="s">
        <v>42</v>
      </c>
      <c r="N11" s="50" t="s">
        <v>42</v>
      </c>
      <c r="O11" s="50" t="s">
        <v>42</v>
      </c>
      <c r="P11" s="50" t="str">
        <f t="shared" si="3"/>
        <v>WO</v>
      </c>
      <c r="Q11" s="50" t="s">
        <v>42</v>
      </c>
      <c r="R11" s="50" t="s">
        <v>42</v>
      </c>
      <c r="S11" s="50" t="s">
        <v>42</v>
      </c>
      <c r="T11" s="50" t="s">
        <v>44</v>
      </c>
      <c r="U11" s="50" t="s">
        <v>42</v>
      </c>
      <c r="V11" s="50" t="s">
        <v>42</v>
      </c>
      <c r="W11" s="50" t="str">
        <f t="shared" si="3"/>
        <v>WO</v>
      </c>
      <c r="X11" s="50" t="s">
        <v>42</v>
      </c>
      <c r="Y11" s="50" t="s">
        <v>42</v>
      </c>
      <c r="Z11" s="50" t="s">
        <v>42</v>
      </c>
      <c r="AA11" s="50" t="s">
        <v>42</v>
      </c>
      <c r="AB11" s="50" t="s">
        <v>42</v>
      </c>
      <c r="AC11" s="50" t="s">
        <v>44</v>
      </c>
      <c r="AD11" s="50" t="str">
        <f t="shared" si="3"/>
        <v>WO</v>
      </c>
      <c r="AE11" s="50" t="s">
        <v>42</v>
      </c>
      <c r="AF11" s="50" t="s">
        <v>43</v>
      </c>
      <c r="AG11" s="50" t="s">
        <v>42</v>
      </c>
      <c r="AH11" s="50" t="s">
        <v>42</v>
      </c>
      <c r="AI11" s="50" t="s">
        <v>44</v>
      </c>
      <c r="AJ11" s="50" t="s">
        <v>42</v>
      </c>
      <c r="AK11" s="50" t="str">
        <f t="shared" si="3"/>
        <v>WO</v>
      </c>
      <c r="AL11" s="50" t="s">
        <v>42</v>
      </c>
      <c r="AM11" s="50" t="s">
        <v>42</v>
      </c>
      <c r="AN11" s="51" t="s">
        <v>42</v>
      </c>
      <c r="AO11" s="39"/>
      <c r="AP11" s="28">
        <v>5</v>
      </c>
      <c r="AQ11" s="21">
        <v>1005</v>
      </c>
      <c r="AR11" s="33" t="str">
        <f t="shared" si="4"/>
        <v>December</v>
      </c>
      <c r="AS11" s="21" t="s">
        <v>7</v>
      </c>
      <c r="AT11" s="29">
        <f t="shared" si="5"/>
        <v>23</v>
      </c>
      <c r="AU11" s="29">
        <f t="shared" si="6"/>
        <v>1</v>
      </c>
      <c r="AV11" s="29">
        <f t="shared" si="7"/>
        <v>3</v>
      </c>
      <c r="AW11" s="29">
        <f t="shared" si="8"/>
        <v>4</v>
      </c>
      <c r="AX11" s="30">
        <f t="shared" si="10"/>
        <v>31</v>
      </c>
      <c r="AY11" s="29">
        <f>DECReport[[#This Row],[Days]]-DECReport[[#This Row],[Adsent]]</f>
        <v>30</v>
      </c>
      <c r="AZ11" s="31">
        <v>45000</v>
      </c>
      <c r="BA11" s="32">
        <f>DECReport[[#This Row],[Salary]]/DECReport[[#This Row],[Days]]</f>
        <v>1451.6129032258063</v>
      </c>
      <c r="BB11" s="31">
        <f>DECReport[[#This Row],[Perday salary]]*DECReport[[#This Row],[Adsent]]</f>
        <v>1451.6129032258063</v>
      </c>
      <c r="BC11" s="31">
        <f>DECReport[[#This Row],[Salary]]-DECReport[[#This Row],[Detuction ]]</f>
        <v>43548.387096774197</v>
      </c>
      <c r="BD11" s="29"/>
      <c r="BE11" s="39"/>
      <c r="BF11" s="37"/>
      <c r="BG11" s="37"/>
      <c r="BH11" s="37"/>
      <c r="BI11" s="37"/>
      <c r="BJ11" s="37"/>
      <c r="BK11" s="37"/>
    </row>
    <row r="12" spans="4:68" x14ac:dyDescent="0.3">
      <c r="D12" s="37"/>
      <c r="E12" s="41"/>
      <c r="F12" s="20">
        <v>6</v>
      </c>
      <c r="G12" s="21">
        <v>1006</v>
      </c>
      <c r="H12" s="22" t="s">
        <v>8</v>
      </c>
      <c r="I12" s="46">
        <f t="shared" si="9"/>
        <v>4</v>
      </c>
      <c r="J12" s="50" t="s">
        <v>42</v>
      </c>
      <c r="K12" s="50" t="s">
        <v>43</v>
      </c>
      <c r="L12" s="50" t="s">
        <v>42</v>
      </c>
      <c r="M12" s="50" t="s">
        <v>42</v>
      </c>
      <c r="N12" s="50" t="s">
        <v>42</v>
      </c>
      <c r="O12" s="50" t="s">
        <v>42</v>
      </c>
      <c r="P12" s="50" t="str">
        <f t="shared" si="3"/>
        <v>WO</v>
      </c>
      <c r="Q12" s="50" t="s">
        <v>42</v>
      </c>
      <c r="R12" s="50" t="s">
        <v>43</v>
      </c>
      <c r="S12" s="50" t="s">
        <v>42</v>
      </c>
      <c r="T12" s="50" t="s">
        <v>44</v>
      </c>
      <c r="U12" s="50" t="s">
        <v>42</v>
      </c>
      <c r="V12" s="50" t="s">
        <v>42</v>
      </c>
      <c r="W12" s="50" t="str">
        <f t="shared" si="3"/>
        <v>WO</v>
      </c>
      <c r="X12" s="50" t="s">
        <v>42</v>
      </c>
      <c r="Y12" s="50" t="s">
        <v>42</v>
      </c>
      <c r="Z12" s="50" t="s">
        <v>42</v>
      </c>
      <c r="AA12" s="50" t="s">
        <v>42</v>
      </c>
      <c r="AB12" s="50" t="s">
        <v>42</v>
      </c>
      <c r="AC12" s="50" t="s">
        <v>44</v>
      </c>
      <c r="AD12" s="50" t="str">
        <f t="shared" si="3"/>
        <v>WO</v>
      </c>
      <c r="AE12" s="50" t="s">
        <v>42</v>
      </c>
      <c r="AF12" s="50" t="s">
        <v>42</v>
      </c>
      <c r="AG12" s="50" t="s">
        <v>42</v>
      </c>
      <c r="AH12" s="50" t="s">
        <v>42</v>
      </c>
      <c r="AI12" s="50" t="s">
        <v>44</v>
      </c>
      <c r="AJ12" s="50" t="s">
        <v>42</v>
      </c>
      <c r="AK12" s="50" t="str">
        <f t="shared" si="3"/>
        <v>WO</v>
      </c>
      <c r="AL12" s="50" t="s">
        <v>42</v>
      </c>
      <c r="AM12" s="50" t="s">
        <v>43</v>
      </c>
      <c r="AN12" s="51" t="s">
        <v>42</v>
      </c>
      <c r="AO12" s="39"/>
      <c r="AP12" s="28">
        <v>6</v>
      </c>
      <c r="AQ12" s="21">
        <v>1006</v>
      </c>
      <c r="AR12" s="33" t="str">
        <f t="shared" si="4"/>
        <v>December</v>
      </c>
      <c r="AS12" s="21" t="s">
        <v>8</v>
      </c>
      <c r="AT12" s="29">
        <f t="shared" si="5"/>
        <v>21</v>
      </c>
      <c r="AU12" s="29">
        <f t="shared" si="6"/>
        <v>3</v>
      </c>
      <c r="AV12" s="29">
        <f t="shared" si="7"/>
        <v>3</v>
      </c>
      <c r="AW12" s="29">
        <f t="shared" si="8"/>
        <v>4</v>
      </c>
      <c r="AX12" s="30">
        <f t="shared" si="10"/>
        <v>31</v>
      </c>
      <c r="AY12" s="29">
        <f>DECReport[[#This Row],[Days]]-DECReport[[#This Row],[Adsent]]</f>
        <v>28</v>
      </c>
      <c r="AZ12" s="31">
        <v>15000</v>
      </c>
      <c r="BA12" s="32">
        <f>DECReport[[#This Row],[Salary]]/DECReport[[#This Row],[Days]]</f>
        <v>483.87096774193549</v>
      </c>
      <c r="BB12" s="31">
        <f>DECReport[[#This Row],[Perday salary]]*DECReport[[#This Row],[Adsent]]</f>
        <v>1451.6129032258063</v>
      </c>
      <c r="BC12" s="31">
        <f>DECReport[[#This Row],[Salary]]-DECReport[[#This Row],[Detuction ]]</f>
        <v>13548.387096774193</v>
      </c>
      <c r="BD12" s="29"/>
      <c r="BE12" s="39"/>
      <c r="BF12" s="37"/>
      <c r="BG12" s="37"/>
      <c r="BH12" s="37"/>
      <c r="BI12" s="37"/>
      <c r="BJ12" s="37"/>
      <c r="BK12" s="37"/>
    </row>
    <row r="13" spans="4:68" x14ac:dyDescent="0.3">
      <c r="D13" s="37"/>
      <c r="E13" s="41"/>
      <c r="F13" s="20">
        <v>7</v>
      </c>
      <c r="G13" s="21">
        <v>1007</v>
      </c>
      <c r="H13" s="22" t="s">
        <v>9</v>
      </c>
      <c r="I13" s="46">
        <f t="shared" si="9"/>
        <v>4</v>
      </c>
      <c r="J13" s="50" t="s">
        <v>42</v>
      </c>
      <c r="K13" s="50" t="s">
        <v>42</v>
      </c>
      <c r="L13" s="50" t="s">
        <v>42</v>
      </c>
      <c r="M13" s="50" t="s">
        <v>42</v>
      </c>
      <c r="N13" s="50" t="s">
        <v>42</v>
      </c>
      <c r="O13" s="50" t="s">
        <v>42</v>
      </c>
      <c r="P13" s="50" t="str">
        <f t="shared" si="3"/>
        <v>WO</v>
      </c>
      <c r="Q13" s="50" t="s">
        <v>42</v>
      </c>
      <c r="R13" s="50" t="s">
        <v>42</v>
      </c>
      <c r="S13" s="50" t="s">
        <v>42</v>
      </c>
      <c r="T13" s="50" t="s">
        <v>44</v>
      </c>
      <c r="U13" s="50" t="s">
        <v>42</v>
      </c>
      <c r="V13" s="50" t="s">
        <v>42</v>
      </c>
      <c r="W13" s="50" t="str">
        <f t="shared" si="3"/>
        <v>WO</v>
      </c>
      <c r="X13" s="50" t="s">
        <v>42</v>
      </c>
      <c r="Y13" s="50" t="s">
        <v>42</v>
      </c>
      <c r="Z13" s="50" t="s">
        <v>42</v>
      </c>
      <c r="AA13" s="50" t="s">
        <v>42</v>
      </c>
      <c r="AB13" s="50" t="s">
        <v>42</v>
      </c>
      <c r="AC13" s="50" t="s">
        <v>44</v>
      </c>
      <c r="AD13" s="50" t="str">
        <f t="shared" si="3"/>
        <v>WO</v>
      </c>
      <c r="AE13" s="50" t="s">
        <v>42</v>
      </c>
      <c r="AF13" s="50" t="s">
        <v>42</v>
      </c>
      <c r="AG13" s="50" t="s">
        <v>42</v>
      </c>
      <c r="AH13" s="50" t="s">
        <v>42</v>
      </c>
      <c r="AI13" s="50" t="s">
        <v>44</v>
      </c>
      <c r="AJ13" s="50" t="s">
        <v>42</v>
      </c>
      <c r="AK13" s="50" t="str">
        <f t="shared" si="3"/>
        <v>WO</v>
      </c>
      <c r="AL13" s="50" t="s">
        <v>42</v>
      </c>
      <c r="AM13" s="50" t="s">
        <v>42</v>
      </c>
      <c r="AN13" s="51" t="s">
        <v>42</v>
      </c>
      <c r="AO13" s="39"/>
      <c r="AP13" s="28">
        <v>7</v>
      </c>
      <c r="AQ13" s="21">
        <v>1007</v>
      </c>
      <c r="AR13" s="33" t="str">
        <f t="shared" si="4"/>
        <v>December</v>
      </c>
      <c r="AS13" s="21" t="s">
        <v>9</v>
      </c>
      <c r="AT13" s="29">
        <f t="shared" si="5"/>
        <v>24</v>
      </c>
      <c r="AU13" s="29">
        <f t="shared" si="6"/>
        <v>0</v>
      </c>
      <c r="AV13" s="29">
        <f t="shared" si="7"/>
        <v>3</v>
      </c>
      <c r="AW13" s="29">
        <f t="shared" si="8"/>
        <v>4</v>
      </c>
      <c r="AX13" s="30">
        <f t="shared" si="10"/>
        <v>31</v>
      </c>
      <c r="AY13" s="29">
        <f>DECReport[[#This Row],[Days]]-DECReport[[#This Row],[Adsent]]</f>
        <v>31</v>
      </c>
      <c r="AZ13" s="31">
        <v>62000</v>
      </c>
      <c r="BA13" s="32">
        <f>DECReport[[#This Row],[Salary]]/DECReport[[#This Row],[Days]]</f>
        <v>2000</v>
      </c>
      <c r="BB13" s="31">
        <f>DECReport[[#This Row],[Perday salary]]*DECReport[[#This Row],[Adsent]]</f>
        <v>0</v>
      </c>
      <c r="BC13" s="31">
        <f>DECReport[[#This Row],[Salary]]-DECReport[[#This Row],[Detuction ]]</f>
        <v>62000</v>
      </c>
      <c r="BD13" s="29"/>
      <c r="BE13" s="39"/>
      <c r="BF13" s="37"/>
      <c r="BG13" s="37"/>
      <c r="BH13" s="37"/>
      <c r="BI13" s="37"/>
      <c r="BJ13" s="37"/>
      <c r="BK13" s="37"/>
    </row>
    <row r="14" spans="4:68" x14ac:dyDescent="0.3">
      <c r="D14" s="37"/>
      <c r="E14" s="41"/>
      <c r="F14" s="20">
        <v>8</v>
      </c>
      <c r="G14" s="21">
        <v>1008</v>
      </c>
      <c r="H14" s="22" t="s">
        <v>10</v>
      </c>
      <c r="I14" s="46">
        <f t="shared" si="9"/>
        <v>4</v>
      </c>
      <c r="J14" s="50" t="s">
        <v>42</v>
      </c>
      <c r="K14" s="50" t="s">
        <v>42</v>
      </c>
      <c r="L14" s="50" t="s">
        <v>42</v>
      </c>
      <c r="M14" s="50" t="s">
        <v>42</v>
      </c>
      <c r="N14" s="50" t="s">
        <v>42</v>
      </c>
      <c r="O14" s="50" t="s">
        <v>42</v>
      </c>
      <c r="P14" s="50" t="str">
        <f t="shared" si="3"/>
        <v>WO</v>
      </c>
      <c r="Q14" s="50" t="s">
        <v>42</v>
      </c>
      <c r="R14" s="50" t="s">
        <v>42</v>
      </c>
      <c r="S14" s="50" t="s">
        <v>42</v>
      </c>
      <c r="T14" s="50" t="s">
        <v>44</v>
      </c>
      <c r="U14" s="50" t="s">
        <v>42</v>
      </c>
      <c r="V14" s="50" t="s">
        <v>42</v>
      </c>
      <c r="W14" s="50" t="str">
        <f t="shared" si="3"/>
        <v>WO</v>
      </c>
      <c r="X14" s="50" t="s">
        <v>42</v>
      </c>
      <c r="Y14" s="50" t="s">
        <v>42</v>
      </c>
      <c r="Z14" s="50" t="s">
        <v>42</v>
      </c>
      <c r="AA14" s="50" t="s">
        <v>42</v>
      </c>
      <c r="AB14" s="50" t="s">
        <v>42</v>
      </c>
      <c r="AC14" s="50" t="s">
        <v>44</v>
      </c>
      <c r="AD14" s="50" t="str">
        <f t="shared" si="3"/>
        <v>WO</v>
      </c>
      <c r="AE14" s="50" t="s">
        <v>42</v>
      </c>
      <c r="AF14" s="50" t="s">
        <v>42</v>
      </c>
      <c r="AG14" s="50" t="s">
        <v>42</v>
      </c>
      <c r="AH14" s="50" t="s">
        <v>42</v>
      </c>
      <c r="AI14" s="50" t="s">
        <v>44</v>
      </c>
      <c r="AJ14" s="50" t="s">
        <v>42</v>
      </c>
      <c r="AK14" s="50" t="str">
        <f t="shared" si="3"/>
        <v>WO</v>
      </c>
      <c r="AL14" s="50" t="s">
        <v>42</v>
      </c>
      <c r="AM14" s="50" t="s">
        <v>42</v>
      </c>
      <c r="AN14" s="51" t="s">
        <v>42</v>
      </c>
      <c r="AO14" s="39"/>
      <c r="AP14" s="28">
        <v>8</v>
      </c>
      <c r="AQ14" s="21">
        <v>1008</v>
      </c>
      <c r="AR14" s="33" t="str">
        <f t="shared" si="4"/>
        <v>December</v>
      </c>
      <c r="AS14" s="21" t="s">
        <v>10</v>
      </c>
      <c r="AT14" s="29">
        <f t="shared" si="5"/>
        <v>24</v>
      </c>
      <c r="AU14" s="29">
        <f t="shared" si="6"/>
        <v>0</v>
      </c>
      <c r="AV14" s="29">
        <f t="shared" si="7"/>
        <v>3</v>
      </c>
      <c r="AW14" s="29">
        <f t="shared" si="8"/>
        <v>4</v>
      </c>
      <c r="AX14" s="30">
        <f t="shared" si="10"/>
        <v>31</v>
      </c>
      <c r="AY14" s="29">
        <f>DECReport[[#This Row],[Days]]-DECReport[[#This Row],[Adsent]]</f>
        <v>31</v>
      </c>
      <c r="AZ14" s="31">
        <v>50000</v>
      </c>
      <c r="BA14" s="32">
        <f>DECReport[[#This Row],[Salary]]/DECReport[[#This Row],[Days]]</f>
        <v>1612.9032258064517</v>
      </c>
      <c r="BB14" s="31">
        <f>DECReport[[#This Row],[Perday salary]]*DECReport[[#This Row],[Adsent]]</f>
        <v>0</v>
      </c>
      <c r="BC14" s="31">
        <f>DECReport[[#This Row],[Salary]]-DECReport[[#This Row],[Detuction ]]</f>
        <v>50000</v>
      </c>
      <c r="BD14" s="29"/>
      <c r="BE14" s="39"/>
      <c r="BF14" s="37"/>
      <c r="BG14" s="37"/>
      <c r="BH14" s="37"/>
      <c r="BI14" s="37"/>
      <c r="BJ14" s="37"/>
      <c r="BK14" s="37"/>
    </row>
    <row r="15" spans="4:68" x14ac:dyDescent="0.3">
      <c r="D15" s="37"/>
      <c r="E15" s="41"/>
      <c r="F15" s="20">
        <v>9</v>
      </c>
      <c r="G15" s="21">
        <v>1009</v>
      </c>
      <c r="H15" s="22" t="s">
        <v>11</v>
      </c>
      <c r="I15" s="46">
        <f t="shared" si="9"/>
        <v>4</v>
      </c>
      <c r="J15" s="50" t="s">
        <v>42</v>
      </c>
      <c r="K15" s="50" t="s">
        <v>42</v>
      </c>
      <c r="L15" s="50" t="s">
        <v>42</v>
      </c>
      <c r="M15" s="50" t="s">
        <v>42</v>
      </c>
      <c r="N15" s="50" t="s">
        <v>42</v>
      </c>
      <c r="O15" s="50" t="s">
        <v>42</v>
      </c>
      <c r="P15" s="50" t="str">
        <f t="shared" si="3"/>
        <v>WO</v>
      </c>
      <c r="Q15" s="50" t="s">
        <v>42</v>
      </c>
      <c r="R15" s="50" t="s">
        <v>42</v>
      </c>
      <c r="S15" s="50" t="s">
        <v>42</v>
      </c>
      <c r="T15" s="50" t="s">
        <v>44</v>
      </c>
      <c r="U15" s="50" t="s">
        <v>42</v>
      </c>
      <c r="V15" s="50" t="s">
        <v>42</v>
      </c>
      <c r="W15" s="50" t="str">
        <f t="shared" si="3"/>
        <v>WO</v>
      </c>
      <c r="X15" s="50" t="s">
        <v>42</v>
      </c>
      <c r="Y15" s="50" t="s">
        <v>42</v>
      </c>
      <c r="Z15" s="50" t="s">
        <v>42</v>
      </c>
      <c r="AA15" s="50" t="s">
        <v>42</v>
      </c>
      <c r="AB15" s="50" t="s">
        <v>42</v>
      </c>
      <c r="AC15" s="50" t="s">
        <v>44</v>
      </c>
      <c r="AD15" s="50" t="str">
        <f t="shared" ref="AD15:AK26" si="11">IF(AD$5="Sun","WO","")</f>
        <v>WO</v>
      </c>
      <c r="AE15" s="50" t="s">
        <v>42</v>
      </c>
      <c r="AF15" s="50" t="s">
        <v>42</v>
      </c>
      <c r="AG15" s="50" t="s">
        <v>42</v>
      </c>
      <c r="AH15" s="50" t="s">
        <v>42</v>
      </c>
      <c r="AI15" s="50" t="s">
        <v>44</v>
      </c>
      <c r="AJ15" s="50" t="s">
        <v>42</v>
      </c>
      <c r="AK15" s="50" t="str">
        <f t="shared" si="11"/>
        <v>WO</v>
      </c>
      <c r="AL15" s="50" t="s">
        <v>42</v>
      </c>
      <c r="AM15" s="50" t="s">
        <v>42</v>
      </c>
      <c r="AN15" s="51" t="s">
        <v>42</v>
      </c>
      <c r="AO15" s="39"/>
      <c r="AP15" s="28">
        <v>9</v>
      </c>
      <c r="AQ15" s="21">
        <v>1009</v>
      </c>
      <c r="AR15" s="33" t="str">
        <f t="shared" si="4"/>
        <v>December</v>
      </c>
      <c r="AS15" s="21" t="s">
        <v>11</v>
      </c>
      <c r="AT15" s="29">
        <f t="shared" si="5"/>
        <v>24</v>
      </c>
      <c r="AU15" s="29">
        <f t="shared" si="6"/>
        <v>0</v>
      </c>
      <c r="AV15" s="29">
        <f t="shared" si="7"/>
        <v>3</v>
      </c>
      <c r="AW15" s="29">
        <f t="shared" si="8"/>
        <v>4</v>
      </c>
      <c r="AX15" s="30">
        <f t="shared" si="10"/>
        <v>31</v>
      </c>
      <c r="AY15" s="29">
        <f>DECReport[[#This Row],[Days]]-DECReport[[#This Row],[Adsent]]</f>
        <v>31</v>
      </c>
      <c r="AZ15" s="31">
        <v>25000</v>
      </c>
      <c r="BA15" s="32">
        <f>DECReport[[#This Row],[Salary]]/DECReport[[#This Row],[Days]]</f>
        <v>806.45161290322585</v>
      </c>
      <c r="BB15" s="31">
        <f>DECReport[[#This Row],[Perday salary]]*DECReport[[#This Row],[Adsent]]</f>
        <v>0</v>
      </c>
      <c r="BC15" s="31">
        <f>DECReport[[#This Row],[Salary]]-DECReport[[#This Row],[Detuction ]]</f>
        <v>25000</v>
      </c>
      <c r="BD15" s="29"/>
      <c r="BE15" s="39"/>
      <c r="BF15" s="37"/>
      <c r="BG15" s="37"/>
      <c r="BH15" s="37"/>
      <c r="BI15" s="37"/>
      <c r="BJ15" s="37"/>
      <c r="BK15" s="37"/>
    </row>
    <row r="16" spans="4:68" x14ac:dyDescent="0.3">
      <c r="D16" s="37"/>
      <c r="E16" s="41"/>
      <c r="F16" s="20">
        <v>10</v>
      </c>
      <c r="G16" s="21">
        <v>1010</v>
      </c>
      <c r="H16" s="22" t="s">
        <v>12</v>
      </c>
      <c r="I16" s="46">
        <f t="shared" si="9"/>
        <v>4</v>
      </c>
      <c r="J16" s="50" t="s">
        <v>42</v>
      </c>
      <c r="K16" s="50" t="s">
        <v>42</v>
      </c>
      <c r="L16" s="50" t="s">
        <v>42</v>
      </c>
      <c r="M16" s="50" t="s">
        <v>42</v>
      </c>
      <c r="N16" s="50" t="s">
        <v>42</v>
      </c>
      <c r="O16" s="50" t="s">
        <v>42</v>
      </c>
      <c r="P16" s="50" t="str">
        <f t="shared" ref="P16:W26" si="12">IF(P$5="Sun","WO","")</f>
        <v>WO</v>
      </c>
      <c r="Q16" s="50" t="s">
        <v>42</v>
      </c>
      <c r="R16" s="50" t="s">
        <v>42</v>
      </c>
      <c r="S16" s="50" t="s">
        <v>42</v>
      </c>
      <c r="T16" s="50" t="s">
        <v>44</v>
      </c>
      <c r="U16" s="50" t="s">
        <v>42</v>
      </c>
      <c r="V16" s="50" t="s">
        <v>42</v>
      </c>
      <c r="W16" s="50" t="str">
        <f t="shared" si="12"/>
        <v>WO</v>
      </c>
      <c r="X16" s="50" t="s">
        <v>42</v>
      </c>
      <c r="Y16" s="50" t="s">
        <v>42</v>
      </c>
      <c r="Z16" s="50" t="s">
        <v>42</v>
      </c>
      <c r="AA16" s="50" t="s">
        <v>42</v>
      </c>
      <c r="AB16" s="50" t="s">
        <v>42</v>
      </c>
      <c r="AC16" s="50" t="s">
        <v>44</v>
      </c>
      <c r="AD16" s="50" t="str">
        <f t="shared" si="11"/>
        <v>WO</v>
      </c>
      <c r="AE16" s="50" t="s">
        <v>42</v>
      </c>
      <c r="AF16" s="50" t="s">
        <v>42</v>
      </c>
      <c r="AG16" s="50" t="s">
        <v>42</v>
      </c>
      <c r="AH16" s="50" t="s">
        <v>42</v>
      </c>
      <c r="AI16" s="50" t="s">
        <v>44</v>
      </c>
      <c r="AJ16" s="50" t="s">
        <v>42</v>
      </c>
      <c r="AK16" s="50" t="str">
        <f t="shared" si="11"/>
        <v>WO</v>
      </c>
      <c r="AL16" s="50" t="s">
        <v>42</v>
      </c>
      <c r="AM16" s="50" t="s">
        <v>42</v>
      </c>
      <c r="AN16" s="51" t="s">
        <v>42</v>
      </c>
      <c r="AO16" s="39"/>
      <c r="AP16" s="28">
        <v>10</v>
      </c>
      <c r="AQ16" s="21">
        <v>1010</v>
      </c>
      <c r="AR16" s="33" t="str">
        <f t="shared" si="4"/>
        <v>December</v>
      </c>
      <c r="AS16" s="21" t="s">
        <v>12</v>
      </c>
      <c r="AT16" s="29">
        <f t="shared" si="5"/>
        <v>24</v>
      </c>
      <c r="AU16" s="29">
        <f t="shared" si="6"/>
        <v>0</v>
      </c>
      <c r="AV16" s="29">
        <f t="shared" si="7"/>
        <v>3</v>
      </c>
      <c r="AW16" s="29">
        <f t="shared" si="8"/>
        <v>4</v>
      </c>
      <c r="AX16" s="30">
        <f t="shared" si="10"/>
        <v>31</v>
      </c>
      <c r="AY16" s="29">
        <f>DECReport[[#This Row],[Days]]-DECReport[[#This Row],[Adsent]]</f>
        <v>31</v>
      </c>
      <c r="AZ16" s="31">
        <v>45000</v>
      </c>
      <c r="BA16" s="32">
        <f>DECReport[[#This Row],[Salary]]/DECReport[[#This Row],[Days]]</f>
        <v>1451.6129032258063</v>
      </c>
      <c r="BB16" s="31">
        <f>DECReport[[#This Row],[Perday salary]]*DECReport[[#This Row],[Adsent]]</f>
        <v>0</v>
      </c>
      <c r="BC16" s="31">
        <f>DECReport[[#This Row],[Salary]]-DECReport[[#This Row],[Detuction ]]</f>
        <v>45000</v>
      </c>
      <c r="BD16" s="29"/>
      <c r="BE16" s="39"/>
      <c r="BF16" s="37"/>
      <c r="BG16" s="37"/>
      <c r="BH16" s="37"/>
      <c r="BI16" s="37"/>
      <c r="BJ16" s="37"/>
      <c r="BK16" s="37"/>
    </row>
    <row r="17" spans="1:63" x14ac:dyDescent="0.3">
      <c r="D17" s="37"/>
      <c r="E17" s="41"/>
      <c r="F17" s="20">
        <v>11</v>
      </c>
      <c r="G17" s="21">
        <v>1011</v>
      </c>
      <c r="H17" s="22" t="s">
        <v>13</v>
      </c>
      <c r="I17" s="46">
        <f t="shared" si="9"/>
        <v>4</v>
      </c>
      <c r="J17" s="50" t="s">
        <v>42</v>
      </c>
      <c r="K17" s="50" t="s">
        <v>42</v>
      </c>
      <c r="L17" s="50" t="s">
        <v>42</v>
      </c>
      <c r="M17" s="50" t="s">
        <v>43</v>
      </c>
      <c r="N17" s="50" t="s">
        <v>43</v>
      </c>
      <c r="O17" s="50" t="s">
        <v>42</v>
      </c>
      <c r="P17" s="50" t="str">
        <f t="shared" si="12"/>
        <v>WO</v>
      </c>
      <c r="Q17" s="50" t="s">
        <v>42</v>
      </c>
      <c r="R17" s="50" t="s">
        <v>42</v>
      </c>
      <c r="S17" s="50" t="s">
        <v>42</v>
      </c>
      <c r="T17" s="50" t="s">
        <v>44</v>
      </c>
      <c r="U17" s="50" t="s">
        <v>42</v>
      </c>
      <c r="V17" s="50" t="s">
        <v>42</v>
      </c>
      <c r="W17" s="50" t="str">
        <f t="shared" si="12"/>
        <v>WO</v>
      </c>
      <c r="X17" s="50" t="s">
        <v>42</v>
      </c>
      <c r="Y17" s="50" t="s">
        <v>42</v>
      </c>
      <c r="Z17" s="50" t="s">
        <v>43</v>
      </c>
      <c r="AA17" s="50" t="s">
        <v>42</v>
      </c>
      <c r="AB17" s="50" t="s">
        <v>42</v>
      </c>
      <c r="AC17" s="50" t="s">
        <v>44</v>
      </c>
      <c r="AD17" s="50" t="str">
        <f t="shared" si="11"/>
        <v>WO</v>
      </c>
      <c r="AE17" s="50" t="s">
        <v>42</v>
      </c>
      <c r="AF17" s="50" t="s">
        <v>42</v>
      </c>
      <c r="AG17" s="50" t="s">
        <v>42</v>
      </c>
      <c r="AH17" s="50" t="s">
        <v>43</v>
      </c>
      <c r="AI17" s="50" t="s">
        <v>44</v>
      </c>
      <c r="AJ17" s="50" t="s">
        <v>42</v>
      </c>
      <c r="AK17" s="50" t="str">
        <f t="shared" si="11"/>
        <v>WO</v>
      </c>
      <c r="AL17" s="50" t="s">
        <v>42</v>
      </c>
      <c r="AM17" s="50" t="s">
        <v>42</v>
      </c>
      <c r="AN17" s="51" t="s">
        <v>42</v>
      </c>
      <c r="AO17" s="39"/>
      <c r="AP17" s="28">
        <v>11</v>
      </c>
      <c r="AQ17" s="21">
        <v>1011</v>
      </c>
      <c r="AR17" s="33" t="str">
        <f t="shared" si="4"/>
        <v>December</v>
      </c>
      <c r="AS17" s="21" t="s">
        <v>13</v>
      </c>
      <c r="AT17" s="29">
        <f t="shared" si="5"/>
        <v>20</v>
      </c>
      <c r="AU17" s="29">
        <f t="shared" si="6"/>
        <v>4</v>
      </c>
      <c r="AV17" s="29">
        <f t="shared" si="7"/>
        <v>3</v>
      </c>
      <c r="AW17" s="29">
        <f t="shared" si="8"/>
        <v>4</v>
      </c>
      <c r="AX17" s="30">
        <f t="shared" si="10"/>
        <v>31</v>
      </c>
      <c r="AY17" s="29">
        <f>DECReport[[#This Row],[Days]]-DECReport[[#This Row],[Adsent]]</f>
        <v>27</v>
      </c>
      <c r="AZ17" s="31">
        <v>48000</v>
      </c>
      <c r="BA17" s="32">
        <f>DECReport[[#This Row],[Salary]]/DECReport[[#This Row],[Days]]</f>
        <v>1548.3870967741937</v>
      </c>
      <c r="BB17" s="31">
        <f>DECReport[[#This Row],[Perday salary]]*DECReport[[#This Row],[Adsent]]</f>
        <v>6193.5483870967746</v>
      </c>
      <c r="BC17" s="31">
        <f>DECReport[[#This Row],[Salary]]-DECReport[[#This Row],[Detuction ]]</f>
        <v>41806.451612903227</v>
      </c>
      <c r="BD17" s="29"/>
      <c r="BE17" s="39"/>
      <c r="BF17" s="37"/>
      <c r="BG17" s="37"/>
      <c r="BH17" s="37"/>
      <c r="BI17" s="37"/>
      <c r="BJ17" s="37"/>
      <c r="BK17" s="37"/>
    </row>
    <row r="18" spans="1:63" x14ac:dyDescent="0.3">
      <c r="D18" s="37"/>
      <c r="E18" s="41"/>
      <c r="F18" s="20">
        <v>12</v>
      </c>
      <c r="G18" s="21">
        <v>1012</v>
      </c>
      <c r="H18" s="22" t="s">
        <v>14</v>
      </c>
      <c r="I18" s="46">
        <f t="shared" si="9"/>
        <v>4</v>
      </c>
      <c r="J18" s="50" t="s">
        <v>42</v>
      </c>
      <c r="K18" s="50" t="s">
        <v>42</v>
      </c>
      <c r="L18" s="50" t="s">
        <v>42</v>
      </c>
      <c r="M18" s="50" t="s">
        <v>43</v>
      </c>
      <c r="N18" s="50" t="s">
        <v>43</v>
      </c>
      <c r="O18" s="50" t="s">
        <v>42</v>
      </c>
      <c r="P18" s="50" t="str">
        <f t="shared" si="12"/>
        <v>WO</v>
      </c>
      <c r="Q18" s="50" t="s">
        <v>42</v>
      </c>
      <c r="R18" s="50" t="s">
        <v>43</v>
      </c>
      <c r="S18" s="50" t="s">
        <v>42</v>
      </c>
      <c r="T18" s="50" t="s">
        <v>44</v>
      </c>
      <c r="U18" s="50" t="s">
        <v>42</v>
      </c>
      <c r="V18" s="50" t="s">
        <v>42</v>
      </c>
      <c r="W18" s="50" t="str">
        <f t="shared" si="12"/>
        <v>WO</v>
      </c>
      <c r="X18" s="50" t="s">
        <v>42</v>
      </c>
      <c r="Y18" s="50" t="s">
        <v>42</v>
      </c>
      <c r="Z18" s="50" t="s">
        <v>42</v>
      </c>
      <c r="AA18" s="50" t="s">
        <v>42</v>
      </c>
      <c r="AB18" s="50" t="s">
        <v>42</v>
      </c>
      <c r="AC18" s="50" t="s">
        <v>44</v>
      </c>
      <c r="AD18" s="50" t="str">
        <f t="shared" si="11"/>
        <v>WO</v>
      </c>
      <c r="AE18" s="50" t="s">
        <v>42</v>
      </c>
      <c r="AF18" s="50" t="s">
        <v>42</v>
      </c>
      <c r="AG18" s="50" t="s">
        <v>42</v>
      </c>
      <c r="AH18" s="50" t="s">
        <v>43</v>
      </c>
      <c r="AI18" s="50" t="s">
        <v>44</v>
      </c>
      <c r="AJ18" s="50" t="s">
        <v>42</v>
      </c>
      <c r="AK18" s="50" t="str">
        <f t="shared" si="11"/>
        <v>WO</v>
      </c>
      <c r="AL18" s="50" t="s">
        <v>42</v>
      </c>
      <c r="AM18" s="50" t="s">
        <v>42</v>
      </c>
      <c r="AN18" s="51" t="s">
        <v>42</v>
      </c>
      <c r="AO18" s="39"/>
      <c r="AP18" s="28">
        <v>12</v>
      </c>
      <c r="AQ18" s="21">
        <v>1012</v>
      </c>
      <c r="AR18" s="33" t="str">
        <f t="shared" si="4"/>
        <v>December</v>
      </c>
      <c r="AS18" s="21" t="s">
        <v>14</v>
      </c>
      <c r="AT18" s="29">
        <f t="shared" si="5"/>
        <v>20</v>
      </c>
      <c r="AU18" s="29">
        <f t="shared" si="6"/>
        <v>4</v>
      </c>
      <c r="AV18" s="29">
        <f t="shared" si="7"/>
        <v>3</v>
      </c>
      <c r="AW18" s="29">
        <f t="shared" si="8"/>
        <v>4</v>
      </c>
      <c r="AX18" s="30">
        <f t="shared" si="10"/>
        <v>31</v>
      </c>
      <c r="AY18" s="29">
        <f>DECReport[[#This Row],[Days]]-DECReport[[#This Row],[Adsent]]</f>
        <v>27</v>
      </c>
      <c r="AZ18" s="31">
        <v>52000</v>
      </c>
      <c r="BA18" s="32">
        <f>DECReport[[#This Row],[Salary]]/DECReport[[#This Row],[Days]]</f>
        <v>1677.4193548387098</v>
      </c>
      <c r="BB18" s="31">
        <f>DECReport[[#This Row],[Perday salary]]*DECReport[[#This Row],[Adsent]]</f>
        <v>6709.677419354839</v>
      </c>
      <c r="BC18" s="31">
        <f>DECReport[[#This Row],[Salary]]-DECReport[[#This Row],[Detuction ]]</f>
        <v>45290.322580645159</v>
      </c>
      <c r="BD18" s="29"/>
      <c r="BE18" s="39"/>
      <c r="BF18" s="37"/>
      <c r="BG18" s="37"/>
      <c r="BH18" s="37"/>
      <c r="BI18" s="37"/>
      <c r="BJ18" s="37"/>
      <c r="BK18" s="37"/>
    </row>
    <row r="19" spans="1:63" x14ac:dyDescent="0.3">
      <c r="D19" s="37"/>
      <c r="E19" s="41"/>
      <c r="F19" s="20">
        <v>13</v>
      </c>
      <c r="G19" s="21">
        <v>1013</v>
      </c>
      <c r="H19" s="22" t="s">
        <v>15</v>
      </c>
      <c r="I19" s="46">
        <f t="shared" si="9"/>
        <v>4</v>
      </c>
      <c r="J19" s="50" t="s">
        <v>42</v>
      </c>
      <c r="K19" s="50" t="s">
        <v>42</v>
      </c>
      <c r="L19" s="50" t="s">
        <v>42</v>
      </c>
      <c r="M19" s="50" t="s">
        <v>42</v>
      </c>
      <c r="N19" s="50" t="s">
        <v>42</v>
      </c>
      <c r="O19" s="50" t="s">
        <v>42</v>
      </c>
      <c r="P19" s="50" t="str">
        <f t="shared" si="12"/>
        <v>WO</v>
      </c>
      <c r="Q19" s="50" t="s">
        <v>42</v>
      </c>
      <c r="R19" s="50" t="s">
        <v>43</v>
      </c>
      <c r="S19" s="50" t="s">
        <v>42</v>
      </c>
      <c r="T19" s="50" t="s">
        <v>44</v>
      </c>
      <c r="U19" s="50" t="s">
        <v>42</v>
      </c>
      <c r="V19" s="50" t="s">
        <v>42</v>
      </c>
      <c r="W19" s="50" t="str">
        <f t="shared" si="12"/>
        <v>WO</v>
      </c>
      <c r="X19" s="50" t="s">
        <v>42</v>
      </c>
      <c r="Y19" s="50" t="s">
        <v>42</v>
      </c>
      <c r="Z19" s="50" t="s">
        <v>42</v>
      </c>
      <c r="AA19" s="50" t="s">
        <v>42</v>
      </c>
      <c r="AB19" s="50" t="s">
        <v>42</v>
      </c>
      <c r="AC19" s="50" t="s">
        <v>44</v>
      </c>
      <c r="AD19" s="50" t="str">
        <f t="shared" si="11"/>
        <v>WO</v>
      </c>
      <c r="AE19" s="50" t="s">
        <v>42</v>
      </c>
      <c r="AF19" s="50" t="s">
        <v>42</v>
      </c>
      <c r="AG19" s="50" t="s">
        <v>42</v>
      </c>
      <c r="AH19" s="50" t="s">
        <v>42</v>
      </c>
      <c r="AI19" s="50" t="s">
        <v>44</v>
      </c>
      <c r="AJ19" s="50" t="s">
        <v>42</v>
      </c>
      <c r="AK19" s="50" t="str">
        <f t="shared" si="11"/>
        <v>WO</v>
      </c>
      <c r="AL19" s="50" t="s">
        <v>42</v>
      </c>
      <c r="AM19" s="50" t="s">
        <v>43</v>
      </c>
      <c r="AN19" s="51" t="s">
        <v>42</v>
      </c>
      <c r="AO19" s="39"/>
      <c r="AP19" s="28">
        <v>13</v>
      </c>
      <c r="AQ19" s="21">
        <v>1013</v>
      </c>
      <c r="AR19" s="33" t="str">
        <f t="shared" si="4"/>
        <v>December</v>
      </c>
      <c r="AS19" s="21" t="s">
        <v>15</v>
      </c>
      <c r="AT19" s="29">
        <f t="shared" si="5"/>
        <v>22</v>
      </c>
      <c r="AU19" s="29">
        <f t="shared" si="6"/>
        <v>2</v>
      </c>
      <c r="AV19" s="29">
        <f t="shared" si="7"/>
        <v>3</v>
      </c>
      <c r="AW19" s="29">
        <f t="shared" si="8"/>
        <v>4</v>
      </c>
      <c r="AX19" s="30">
        <f t="shared" si="10"/>
        <v>31</v>
      </c>
      <c r="AY19" s="29">
        <f>DECReport[[#This Row],[Days]]-DECReport[[#This Row],[Adsent]]</f>
        <v>29</v>
      </c>
      <c r="AZ19" s="31">
        <v>42000</v>
      </c>
      <c r="BA19" s="32">
        <f>DECReport[[#This Row],[Salary]]/DECReport[[#This Row],[Days]]</f>
        <v>1354.8387096774193</v>
      </c>
      <c r="BB19" s="31">
        <f>DECReport[[#This Row],[Perday salary]]*DECReport[[#This Row],[Adsent]]</f>
        <v>2709.6774193548385</v>
      </c>
      <c r="BC19" s="31">
        <f>DECReport[[#This Row],[Salary]]-DECReport[[#This Row],[Detuction ]]</f>
        <v>39290.322580645159</v>
      </c>
      <c r="BD19" s="29"/>
      <c r="BE19" s="39"/>
      <c r="BF19" s="37"/>
      <c r="BG19" s="37"/>
      <c r="BH19" s="37"/>
      <c r="BI19" s="37"/>
      <c r="BJ19" s="37"/>
      <c r="BK19" s="37"/>
    </row>
    <row r="20" spans="1:63" x14ac:dyDescent="0.3">
      <c r="D20" s="37"/>
      <c r="E20" s="41"/>
      <c r="F20" s="20">
        <v>14</v>
      </c>
      <c r="G20" s="21">
        <v>1014</v>
      </c>
      <c r="H20" s="22" t="s">
        <v>16</v>
      </c>
      <c r="I20" s="46">
        <f t="shared" si="9"/>
        <v>4</v>
      </c>
      <c r="J20" s="50" t="s">
        <v>42</v>
      </c>
      <c r="K20" s="50" t="s">
        <v>42</v>
      </c>
      <c r="L20" s="50" t="s">
        <v>42</v>
      </c>
      <c r="M20" s="50" t="s">
        <v>42</v>
      </c>
      <c r="N20" s="50" t="s">
        <v>42</v>
      </c>
      <c r="O20" s="50" t="s">
        <v>42</v>
      </c>
      <c r="P20" s="50" t="str">
        <f t="shared" si="12"/>
        <v>WO</v>
      </c>
      <c r="Q20" s="50" t="s">
        <v>42</v>
      </c>
      <c r="R20" s="50" t="s">
        <v>42</v>
      </c>
      <c r="S20" s="50" t="s">
        <v>42</v>
      </c>
      <c r="T20" s="50" t="s">
        <v>44</v>
      </c>
      <c r="U20" s="50" t="s">
        <v>42</v>
      </c>
      <c r="V20" s="50" t="s">
        <v>42</v>
      </c>
      <c r="W20" s="50" t="str">
        <f t="shared" si="12"/>
        <v>WO</v>
      </c>
      <c r="X20" s="50" t="s">
        <v>42</v>
      </c>
      <c r="Y20" s="50" t="s">
        <v>42</v>
      </c>
      <c r="Z20" s="50" t="s">
        <v>42</v>
      </c>
      <c r="AA20" s="50" t="s">
        <v>42</v>
      </c>
      <c r="AB20" s="50" t="s">
        <v>42</v>
      </c>
      <c r="AC20" s="50" t="s">
        <v>44</v>
      </c>
      <c r="AD20" s="50" t="str">
        <f t="shared" si="11"/>
        <v>WO</v>
      </c>
      <c r="AE20" s="50" t="s">
        <v>42</v>
      </c>
      <c r="AF20" s="50" t="s">
        <v>42</v>
      </c>
      <c r="AG20" s="50" t="s">
        <v>42</v>
      </c>
      <c r="AH20" s="50" t="s">
        <v>42</v>
      </c>
      <c r="AI20" s="50" t="s">
        <v>44</v>
      </c>
      <c r="AJ20" s="50" t="s">
        <v>42</v>
      </c>
      <c r="AK20" s="50" t="str">
        <f t="shared" si="11"/>
        <v>WO</v>
      </c>
      <c r="AL20" s="50" t="s">
        <v>42</v>
      </c>
      <c r="AM20" s="50" t="s">
        <v>42</v>
      </c>
      <c r="AN20" s="51" t="s">
        <v>42</v>
      </c>
      <c r="AO20" s="39"/>
      <c r="AP20" s="28">
        <v>14</v>
      </c>
      <c r="AQ20" s="21">
        <v>1014</v>
      </c>
      <c r="AR20" s="33" t="str">
        <f t="shared" si="4"/>
        <v>December</v>
      </c>
      <c r="AS20" s="21" t="s">
        <v>16</v>
      </c>
      <c r="AT20" s="29">
        <f t="shared" si="5"/>
        <v>24</v>
      </c>
      <c r="AU20" s="29">
        <f t="shared" si="6"/>
        <v>0</v>
      </c>
      <c r="AV20" s="29">
        <f t="shared" si="7"/>
        <v>3</v>
      </c>
      <c r="AW20" s="29">
        <f t="shared" si="8"/>
        <v>4</v>
      </c>
      <c r="AX20" s="30">
        <f t="shared" si="10"/>
        <v>31</v>
      </c>
      <c r="AY20" s="29">
        <f>DECReport[[#This Row],[Days]]-DECReport[[#This Row],[Adsent]]</f>
        <v>31</v>
      </c>
      <c r="AZ20" s="31">
        <v>15000</v>
      </c>
      <c r="BA20" s="32">
        <f>DECReport[[#This Row],[Salary]]/DECReport[[#This Row],[Days]]</f>
        <v>483.87096774193549</v>
      </c>
      <c r="BB20" s="31">
        <f>DECReport[[#This Row],[Perday salary]]*DECReport[[#This Row],[Adsent]]</f>
        <v>0</v>
      </c>
      <c r="BC20" s="31">
        <f>DECReport[[#This Row],[Salary]]-DECReport[[#This Row],[Detuction ]]</f>
        <v>15000</v>
      </c>
      <c r="BD20" s="29"/>
      <c r="BE20" s="39"/>
      <c r="BF20" s="37"/>
      <c r="BG20" s="37"/>
      <c r="BH20" s="37"/>
      <c r="BI20" s="37"/>
      <c r="BJ20" s="37"/>
      <c r="BK20" s="37"/>
    </row>
    <row r="21" spans="1:63" x14ac:dyDescent="0.3">
      <c r="D21" s="37"/>
      <c r="E21" s="41"/>
      <c r="F21" s="20">
        <v>15</v>
      </c>
      <c r="G21" s="21">
        <v>1015</v>
      </c>
      <c r="H21" s="22" t="s">
        <v>17</v>
      </c>
      <c r="I21" s="46">
        <f t="shared" si="9"/>
        <v>4</v>
      </c>
      <c r="J21" s="50" t="s">
        <v>42</v>
      </c>
      <c r="K21" s="50" t="s">
        <v>42</v>
      </c>
      <c r="L21" s="50" t="s">
        <v>42</v>
      </c>
      <c r="M21" s="50" t="s">
        <v>42</v>
      </c>
      <c r="N21" s="50" t="s">
        <v>42</v>
      </c>
      <c r="O21" s="50" t="s">
        <v>42</v>
      </c>
      <c r="P21" s="50" t="str">
        <f t="shared" si="12"/>
        <v>WO</v>
      </c>
      <c r="Q21" s="50" t="s">
        <v>42</v>
      </c>
      <c r="R21" s="50" t="s">
        <v>42</v>
      </c>
      <c r="S21" s="50" t="s">
        <v>42</v>
      </c>
      <c r="T21" s="50" t="s">
        <v>44</v>
      </c>
      <c r="U21" s="50" t="s">
        <v>42</v>
      </c>
      <c r="V21" s="50" t="s">
        <v>42</v>
      </c>
      <c r="W21" s="50" t="str">
        <f t="shared" si="12"/>
        <v>WO</v>
      </c>
      <c r="X21" s="50" t="s">
        <v>42</v>
      </c>
      <c r="Y21" s="50" t="s">
        <v>42</v>
      </c>
      <c r="Z21" s="50" t="s">
        <v>43</v>
      </c>
      <c r="AA21" s="50" t="s">
        <v>42</v>
      </c>
      <c r="AB21" s="50" t="s">
        <v>42</v>
      </c>
      <c r="AC21" s="50" t="s">
        <v>44</v>
      </c>
      <c r="AD21" s="50" t="str">
        <f t="shared" si="11"/>
        <v>WO</v>
      </c>
      <c r="AE21" s="50" t="s">
        <v>42</v>
      </c>
      <c r="AF21" s="50" t="s">
        <v>42</v>
      </c>
      <c r="AG21" s="50" t="s">
        <v>42</v>
      </c>
      <c r="AH21" s="50" t="s">
        <v>42</v>
      </c>
      <c r="AI21" s="50" t="s">
        <v>44</v>
      </c>
      <c r="AJ21" s="50" t="s">
        <v>42</v>
      </c>
      <c r="AK21" s="50" t="str">
        <f t="shared" si="11"/>
        <v>WO</v>
      </c>
      <c r="AL21" s="50" t="s">
        <v>42</v>
      </c>
      <c r="AM21" s="50" t="s">
        <v>42</v>
      </c>
      <c r="AN21" s="51" t="s">
        <v>42</v>
      </c>
      <c r="AO21" s="39"/>
      <c r="AP21" s="28">
        <v>15</v>
      </c>
      <c r="AQ21" s="21">
        <v>1015</v>
      </c>
      <c r="AR21" s="33" t="str">
        <f t="shared" si="4"/>
        <v>December</v>
      </c>
      <c r="AS21" s="21" t="s">
        <v>17</v>
      </c>
      <c r="AT21" s="29">
        <f t="shared" si="5"/>
        <v>23</v>
      </c>
      <c r="AU21" s="29">
        <f t="shared" si="6"/>
        <v>1</v>
      </c>
      <c r="AV21" s="29">
        <f t="shared" si="7"/>
        <v>3</v>
      </c>
      <c r="AW21" s="29">
        <f t="shared" si="8"/>
        <v>4</v>
      </c>
      <c r="AX21" s="30">
        <f t="shared" si="10"/>
        <v>31</v>
      </c>
      <c r="AY21" s="29">
        <f>DECReport[[#This Row],[Days]]-DECReport[[#This Row],[Adsent]]</f>
        <v>30</v>
      </c>
      <c r="AZ21" s="31">
        <v>46000</v>
      </c>
      <c r="BA21" s="32">
        <f>DECReport[[#This Row],[Salary]]/DECReport[[#This Row],[Days]]</f>
        <v>1483.8709677419354</v>
      </c>
      <c r="BB21" s="31">
        <f>DECReport[[#This Row],[Perday salary]]*DECReport[[#This Row],[Adsent]]</f>
        <v>1483.8709677419354</v>
      </c>
      <c r="BC21" s="31">
        <f>DECReport[[#This Row],[Salary]]-DECReport[[#This Row],[Detuction ]]</f>
        <v>44516.129032258068</v>
      </c>
      <c r="BD21" s="29"/>
      <c r="BE21" s="39"/>
      <c r="BF21" s="37"/>
      <c r="BG21" s="37"/>
      <c r="BH21" s="37"/>
      <c r="BI21" s="37"/>
      <c r="BJ21" s="37"/>
      <c r="BK21" s="37"/>
    </row>
    <row r="22" spans="1:63" x14ac:dyDescent="0.3">
      <c r="D22" s="37"/>
      <c r="E22" s="41"/>
      <c r="F22" s="20">
        <v>16</v>
      </c>
      <c r="G22" s="21">
        <v>1016</v>
      </c>
      <c r="H22" s="22" t="s">
        <v>18</v>
      </c>
      <c r="I22" s="46">
        <f t="shared" si="9"/>
        <v>4</v>
      </c>
      <c r="J22" s="50" t="s">
        <v>42</v>
      </c>
      <c r="K22" s="50" t="s">
        <v>42</v>
      </c>
      <c r="L22" s="50" t="s">
        <v>42</v>
      </c>
      <c r="M22" s="50" t="s">
        <v>42</v>
      </c>
      <c r="N22" s="50" t="s">
        <v>42</v>
      </c>
      <c r="O22" s="50" t="s">
        <v>42</v>
      </c>
      <c r="P22" s="50" t="str">
        <f t="shared" si="12"/>
        <v>WO</v>
      </c>
      <c r="Q22" s="50" t="s">
        <v>42</v>
      </c>
      <c r="R22" s="50" t="s">
        <v>42</v>
      </c>
      <c r="S22" s="50" t="s">
        <v>42</v>
      </c>
      <c r="T22" s="50" t="s">
        <v>44</v>
      </c>
      <c r="U22" s="50" t="s">
        <v>42</v>
      </c>
      <c r="V22" s="50" t="s">
        <v>42</v>
      </c>
      <c r="W22" s="50" t="str">
        <f t="shared" si="12"/>
        <v>WO</v>
      </c>
      <c r="X22" s="50" t="s">
        <v>42</v>
      </c>
      <c r="Y22" s="50" t="s">
        <v>42</v>
      </c>
      <c r="Z22" s="50" t="s">
        <v>42</v>
      </c>
      <c r="AA22" s="50" t="s">
        <v>42</v>
      </c>
      <c r="AB22" s="50" t="s">
        <v>42</v>
      </c>
      <c r="AC22" s="50" t="s">
        <v>44</v>
      </c>
      <c r="AD22" s="50" t="str">
        <f t="shared" si="11"/>
        <v>WO</v>
      </c>
      <c r="AE22" s="50" t="s">
        <v>42</v>
      </c>
      <c r="AF22" s="50" t="s">
        <v>42</v>
      </c>
      <c r="AG22" s="50" t="s">
        <v>42</v>
      </c>
      <c r="AH22" s="50" t="s">
        <v>43</v>
      </c>
      <c r="AI22" s="50" t="s">
        <v>44</v>
      </c>
      <c r="AJ22" s="50" t="s">
        <v>42</v>
      </c>
      <c r="AK22" s="50" t="str">
        <f t="shared" si="11"/>
        <v>WO</v>
      </c>
      <c r="AL22" s="50" t="s">
        <v>42</v>
      </c>
      <c r="AM22" s="50" t="s">
        <v>42</v>
      </c>
      <c r="AN22" s="51" t="s">
        <v>42</v>
      </c>
      <c r="AO22" s="39"/>
      <c r="AP22" s="28">
        <v>16</v>
      </c>
      <c r="AQ22" s="21">
        <v>1016</v>
      </c>
      <c r="AR22" s="33" t="str">
        <f t="shared" si="4"/>
        <v>December</v>
      </c>
      <c r="AS22" s="21" t="s">
        <v>18</v>
      </c>
      <c r="AT22" s="29">
        <f t="shared" si="5"/>
        <v>23</v>
      </c>
      <c r="AU22" s="29">
        <f t="shared" si="6"/>
        <v>1</v>
      </c>
      <c r="AV22" s="29">
        <f t="shared" si="7"/>
        <v>3</v>
      </c>
      <c r="AW22" s="29">
        <f t="shared" si="8"/>
        <v>4</v>
      </c>
      <c r="AX22" s="30">
        <f t="shared" si="10"/>
        <v>31</v>
      </c>
      <c r="AY22" s="29">
        <f>DECReport[[#This Row],[Days]]-DECReport[[#This Row],[Adsent]]</f>
        <v>30</v>
      </c>
      <c r="AZ22" s="31">
        <v>52000</v>
      </c>
      <c r="BA22" s="32">
        <f>DECReport[[#This Row],[Salary]]/DECReport[[#This Row],[Days]]</f>
        <v>1677.4193548387098</v>
      </c>
      <c r="BB22" s="31">
        <f>DECReport[[#This Row],[Perday salary]]*DECReport[[#This Row],[Adsent]]</f>
        <v>1677.4193548387098</v>
      </c>
      <c r="BC22" s="31">
        <f>DECReport[[#This Row],[Salary]]-DECReport[[#This Row],[Detuction ]]</f>
        <v>50322.580645161288</v>
      </c>
      <c r="BD22" s="29"/>
      <c r="BE22" s="39"/>
      <c r="BF22" s="37"/>
      <c r="BG22" s="37"/>
      <c r="BH22" s="37"/>
      <c r="BI22" s="37"/>
      <c r="BJ22" s="37"/>
      <c r="BK22" s="37"/>
    </row>
    <row r="23" spans="1:63" x14ac:dyDescent="0.3">
      <c r="D23" s="37"/>
      <c r="E23" s="41"/>
      <c r="F23" s="20">
        <v>17</v>
      </c>
      <c r="G23" s="21">
        <v>1017</v>
      </c>
      <c r="H23" s="22" t="s">
        <v>19</v>
      </c>
      <c r="I23" s="46">
        <f t="shared" si="9"/>
        <v>4</v>
      </c>
      <c r="J23" s="50" t="s">
        <v>42</v>
      </c>
      <c r="K23" s="50" t="s">
        <v>42</v>
      </c>
      <c r="L23" s="50" t="s">
        <v>42</v>
      </c>
      <c r="M23" s="50" t="s">
        <v>43</v>
      </c>
      <c r="N23" s="50" t="s">
        <v>42</v>
      </c>
      <c r="O23" s="50" t="s">
        <v>42</v>
      </c>
      <c r="P23" s="50" t="str">
        <f t="shared" si="12"/>
        <v>WO</v>
      </c>
      <c r="Q23" s="50" t="s">
        <v>42</v>
      </c>
      <c r="R23" s="50" t="s">
        <v>42</v>
      </c>
      <c r="S23" s="50" t="s">
        <v>42</v>
      </c>
      <c r="T23" s="50" t="s">
        <v>44</v>
      </c>
      <c r="U23" s="50" t="s">
        <v>42</v>
      </c>
      <c r="V23" s="50" t="s">
        <v>42</v>
      </c>
      <c r="W23" s="50" t="str">
        <f t="shared" si="12"/>
        <v>WO</v>
      </c>
      <c r="X23" s="50" t="s">
        <v>42</v>
      </c>
      <c r="Y23" s="50" t="s">
        <v>42</v>
      </c>
      <c r="Z23" s="50" t="s">
        <v>42</v>
      </c>
      <c r="AA23" s="50" t="s">
        <v>42</v>
      </c>
      <c r="AB23" s="50" t="s">
        <v>42</v>
      </c>
      <c r="AC23" s="50" t="s">
        <v>44</v>
      </c>
      <c r="AD23" s="50" t="str">
        <f t="shared" si="11"/>
        <v>WO</v>
      </c>
      <c r="AE23" s="50" t="s">
        <v>42</v>
      </c>
      <c r="AF23" s="50" t="s">
        <v>42</v>
      </c>
      <c r="AG23" s="50" t="s">
        <v>42</v>
      </c>
      <c r="AH23" s="50" t="s">
        <v>43</v>
      </c>
      <c r="AI23" s="50" t="s">
        <v>44</v>
      </c>
      <c r="AJ23" s="50" t="s">
        <v>42</v>
      </c>
      <c r="AK23" s="50" t="str">
        <f t="shared" si="11"/>
        <v>WO</v>
      </c>
      <c r="AL23" s="50" t="s">
        <v>42</v>
      </c>
      <c r="AM23" s="50" t="s">
        <v>42</v>
      </c>
      <c r="AN23" s="51" t="s">
        <v>42</v>
      </c>
      <c r="AO23" s="39"/>
      <c r="AP23" s="28">
        <v>17</v>
      </c>
      <c r="AQ23" s="21">
        <v>1017</v>
      </c>
      <c r="AR23" s="33" t="str">
        <f t="shared" si="4"/>
        <v>December</v>
      </c>
      <c r="AS23" s="21" t="s">
        <v>19</v>
      </c>
      <c r="AT23" s="29">
        <f t="shared" si="5"/>
        <v>22</v>
      </c>
      <c r="AU23" s="29">
        <f t="shared" si="6"/>
        <v>2</v>
      </c>
      <c r="AV23" s="29">
        <f t="shared" si="7"/>
        <v>3</v>
      </c>
      <c r="AW23" s="29">
        <f t="shared" si="8"/>
        <v>4</v>
      </c>
      <c r="AX23" s="30">
        <f t="shared" si="10"/>
        <v>31</v>
      </c>
      <c r="AY23" s="29">
        <f>DECReport[[#This Row],[Days]]-DECReport[[#This Row],[Adsent]]</f>
        <v>29</v>
      </c>
      <c r="AZ23" s="31">
        <v>42000</v>
      </c>
      <c r="BA23" s="32">
        <f>DECReport[[#This Row],[Salary]]/DECReport[[#This Row],[Days]]</f>
        <v>1354.8387096774193</v>
      </c>
      <c r="BB23" s="31">
        <f>DECReport[[#This Row],[Perday salary]]*DECReport[[#This Row],[Adsent]]</f>
        <v>2709.6774193548385</v>
      </c>
      <c r="BC23" s="31">
        <f>DECReport[[#This Row],[Salary]]-DECReport[[#This Row],[Detuction ]]</f>
        <v>39290.322580645159</v>
      </c>
      <c r="BD23" s="29"/>
      <c r="BE23" s="39"/>
      <c r="BF23" s="37"/>
      <c r="BG23" s="37"/>
      <c r="BH23" s="37"/>
      <c r="BI23" s="37"/>
      <c r="BJ23" s="37"/>
      <c r="BK23" s="37"/>
    </row>
    <row r="24" spans="1:63" x14ac:dyDescent="0.3">
      <c r="D24" s="37"/>
      <c r="E24" s="41"/>
      <c r="F24" s="20">
        <v>18</v>
      </c>
      <c r="G24" s="21">
        <v>1018</v>
      </c>
      <c r="H24" s="22" t="s">
        <v>20</v>
      </c>
      <c r="I24" s="46">
        <f t="shared" si="9"/>
        <v>4</v>
      </c>
      <c r="J24" s="50" t="s">
        <v>42</v>
      </c>
      <c r="K24" s="50" t="s">
        <v>42</v>
      </c>
      <c r="L24" s="50" t="s">
        <v>42</v>
      </c>
      <c r="M24" s="50" t="s">
        <v>43</v>
      </c>
      <c r="N24" s="50" t="s">
        <v>42</v>
      </c>
      <c r="O24" s="50" t="s">
        <v>42</v>
      </c>
      <c r="P24" s="50" t="str">
        <f t="shared" si="12"/>
        <v>WO</v>
      </c>
      <c r="Q24" s="50" t="s">
        <v>42</v>
      </c>
      <c r="R24" s="50" t="s">
        <v>42</v>
      </c>
      <c r="S24" s="50" t="s">
        <v>42</v>
      </c>
      <c r="T24" s="50" t="s">
        <v>44</v>
      </c>
      <c r="U24" s="50" t="s">
        <v>42</v>
      </c>
      <c r="V24" s="50" t="s">
        <v>42</v>
      </c>
      <c r="W24" s="50" t="str">
        <f t="shared" si="12"/>
        <v>WO</v>
      </c>
      <c r="X24" s="50" t="s">
        <v>42</v>
      </c>
      <c r="Y24" s="50" t="s">
        <v>42</v>
      </c>
      <c r="Z24" s="50" t="s">
        <v>42</v>
      </c>
      <c r="AA24" s="50" t="s">
        <v>42</v>
      </c>
      <c r="AB24" s="50" t="s">
        <v>42</v>
      </c>
      <c r="AC24" s="50" t="s">
        <v>44</v>
      </c>
      <c r="AD24" s="50" t="str">
        <f t="shared" si="11"/>
        <v>WO</v>
      </c>
      <c r="AE24" s="50" t="s">
        <v>42</v>
      </c>
      <c r="AF24" s="50" t="s">
        <v>42</v>
      </c>
      <c r="AG24" s="50" t="s">
        <v>42</v>
      </c>
      <c r="AH24" s="50" t="s">
        <v>42</v>
      </c>
      <c r="AI24" s="50" t="s">
        <v>44</v>
      </c>
      <c r="AJ24" s="50" t="s">
        <v>42</v>
      </c>
      <c r="AK24" s="50" t="str">
        <f t="shared" si="11"/>
        <v>WO</v>
      </c>
      <c r="AL24" s="50" t="s">
        <v>42</v>
      </c>
      <c r="AM24" s="50" t="s">
        <v>42</v>
      </c>
      <c r="AN24" s="51" t="s">
        <v>42</v>
      </c>
      <c r="AO24" s="39"/>
      <c r="AP24" s="28">
        <v>18</v>
      </c>
      <c r="AQ24" s="21">
        <v>1018</v>
      </c>
      <c r="AR24" s="33" t="str">
        <f t="shared" si="4"/>
        <v>December</v>
      </c>
      <c r="AS24" s="21" t="s">
        <v>20</v>
      </c>
      <c r="AT24" s="29">
        <f t="shared" si="5"/>
        <v>23</v>
      </c>
      <c r="AU24" s="29">
        <f t="shared" si="6"/>
        <v>1</v>
      </c>
      <c r="AV24" s="29">
        <f t="shared" si="7"/>
        <v>3</v>
      </c>
      <c r="AW24" s="29">
        <f t="shared" si="8"/>
        <v>4</v>
      </c>
      <c r="AX24" s="30">
        <f t="shared" si="10"/>
        <v>31</v>
      </c>
      <c r="AY24" s="29">
        <f>DECReport[[#This Row],[Days]]-DECReport[[#This Row],[Adsent]]</f>
        <v>30</v>
      </c>
      <c r="AZ24" s="31">
        <v>62000</v>
      </c>
      <c r="BA24" s="32">
        <f>DECReport[[#This Row],[Salary]]/DECReport[[#This Row],[Days]]</f>
        <v>2000</v>
      </c>
      <c r="BB24" s="31">
        <f>DECReport[[#This Row],[Perday salary]]*DECReport[[#This Row],[Adsent]]</f>
        <v>2000</v>
      </c>
      <c r="BC24" s="31">
        <f>DECReport[[#This Row],[Salary]]-DECReport[[#This Row],[Detuction ]]</f>
        <v>60000</v>
      </c>
      <c r="BD24" s="29"/>
      <c r="BE24" s="39"/>
      <c r="BF24" s="37"/>
      <c r="BG24" s="37"/>
      <c r="BH24" s="37"/>
      <c r="BI24" s="37"/>
      <c r="BJ24" s="37"/>
      <c r="BK24" s="37"/>
    </row>
    <row r="25" spans="1:63" x14ac:dyDescent="0.3">
      <c r="D25" s="37"/>
      <c r="E25" s="41"/>
      <c r="F25" s="20">
        <v>19</v>
      </c>
      <c r="G25" s="21">
        <v>1019</v>
      </c>
      <c r="H25" s="22" t="s">
        <v>21</v>
      </c>
      <c r="I25" s="46">
        <f t="shared" si="9"/>
        <v>4</v>
      </c>
      <c r="J25" s="50" t="s">
        <v>42</v>
      </c>
      <c r="K25" s="50" t="s">
        <v>42</v>
      </c>
      <c r="L25" s="50" t="s">
        <v>42</v>
      </c>
      <c r="M25" s="50" t="s">
        <v>42</v>
      </c>
      <c r="N25" s="50" t="s">
        <v>42</v>
      </c>
      <c r="O25" s="50" t="s">
        <v>42</v>
      </c>
      <c r="P25" s="50" t="str">
        <f t="shared" si="12"/>
        <v>WO</v>
      </c>
      <c r="Q25" s="50" t="s">
        <v>42</v>
      </c>
      <c r="R25" s="50" t="s">
        <v>42</v>
      </c>
      <c r="S25" s="50" t="s">
        <v>42</v>
      </c>
      <c r="T25" s="50" t="s">
        <v>44</v>
      </c>
      <c r="U25" s="50" t="s">
        <v>42</v>
      </c>
      <c r="V25" s="50" t="s">
        <v>42</v>
      </c>
      <c r="W25" s="50" t="str">
        <f t="shared" si="12"/>
        <v>WO</v>
      </c>
      <c r="X25" s="50" t="s">
        <v>42</v>
      </c>
      <c r="Y25" s="50" t="s">
        <v>42</v>
      </c>
      <c r="Z25" s="50" t="s">
        <v>42</v>
      </c>
      <c r="AA25" s="50" t="s">
        <v>42</v>
      </c>
      <c r="AB25" s="50" t="s">
        <v>42</v>
      </c>
      <c r="AC25" s="50" t="s">
        <v>44</v>
      </c>
      <c r="AD25" s="50" t="str">
        <f t="shared" si="11"/>
        <v>WO</v>
      </c>
      <c r="AE25" s="50" t="s">
        <v>42</v>
      </c>
      <c r="AF25" s="50" t="s">
        <v>42</v>
      </c>
      <c r="AG25" s="50" t="s">
        <v>42</v>
      </c>
      <c r="AH25" s="50" t="s">
        <v>42</v>
      </c>
      <c r="AI25" s="50" t="s">
        <v>44</v>
      </c>
      <c r="AJ25" s="50" t="s">
        <v>42</v>
      </c>
      <c r="AK25" s="50" t="str">
        <f t="shared" si="11"/>
        <v>WO</v>
      </c>
      <c r="AL25" s="50" t="s">
        <v>42</v>
      </c>
      <c r="AM25" s="50" t="s">
        <v>42</v>
      </c>
      <c r="AN25" s="51" t="s">
        <v>42</v>
      </c>
      <c r="AO25" s="39"/>
      <c r="AP25" s="28">
        <v>19</v>
      </c>
      <c r="AQ25" s="21">
        <v>1019</v>
      </c>
      <c r="AR25" s="33" t="str">
        <f t="shared" si="4"/>
        <v>December</v>
      </c>
      <c r="AS25" s="21" t="s">
        <v>21</v>
      </c>
      <c r="AT25" s="29">
        <f t="shared" si="5"/>
        <v>24</v>
      </c>
      <c r="AU25" s="29">
        <f t="shared" si="6"/>
        <v>0</v>
      </c>
      <c r="AV25" s="29">
        <f t="shared" si="7"/>
        <v>3</v>
      </c>
      <c r="AW25" s="29">
        <f t="shared" si="8"/>
        <v>4</v>
      </c>
      <c r="AX25" s="30">
        <f t="shared" si="10"/>
        <v>31</v>
      </c>
      <c r="AY25" s="29">
        <f>DECReport[[#This Row],[Days]]-DECReport[[#This Row],[Adsent]]</f>
        <v>31</v>
      </c>
      <c r="AZ25" s="31">
        <v>41000</v>
      </c>
      <c r="BA25" s="32">
        <f>DECReport[[#This Row],[Salary]]/DECReport[[#This Row],[Days]]</f>
        <v>1322.5806451612902</v>
      </c>
      <c r="BB25" s="31">
        <f>DECReport[[#This Row],[Perday salary]]*DECReport[[#This Row],[Adsent]]</f>
        <v>0</v>
      </c>
      <c r="BC25" s="31">
        <f>DECReport[[#This Row],[Salary]]-DECReport[[#This Row],[Detuction ]]</f>
        <v>41000</v>
      </c>
      <c r="BD25" s="29"/>
      <c r="BE25" s="39"/>
      <c r="BF25" s="37"/>
      <c r="BG25" s="37"/>
      <c r="BH25" s="37"/>
      <c r="BI25" s="37"/>
      <c r="BJ25" s="37"/>
      <c r="BK25" s="37"/>
    </row>
    <row r="26" spans="1:63" ht="15" thickBot="1" x14ac:dyDescent="0.35">
      <c r="D26" s="37"/>
      <c r="E26" s="41"/>
      <c r="F26" s="24">
        <v>20</v>
      </c>
      <c r="G26" s="25">
        <v>1020</v>
      </c>
      <c r="H26" s="26" t="s">
        <v>22</v>
      </c>
      <c r="I26" s="47">
        <f t="shared" si="9"/>
        <v>4</v>
      </c>
      <c r="J26" s="52" t="s">
        <v>42</v>
      </c>
      <c r="K26" s="52" t="s">
        <v>42</v>
      </c>
      <c r="L26" s="52" t="s">
        <v>42</v>
      </c>
      <c r="M26" s="52" t="s">
        <v>42</v>
      </c>
      <c r="N26" s="52" t="s">
        <v>42</v>
      </c>
      <c r="O26" s="52" t="s">
        <v>42</v>
      </c>
      <c r="P26" s="52" t="str">
        <f t="shared" si="12"/>
        <v>WO</v>
      </c>
      <c r="Q26" s="52" t="s">
        <v>42</v>
      </c>
      <c r="R26" s="52" t="s">
        <v>42</v>
      </c>
      <c r="S26" s="52" t="s">
        <v>42</v>
      </c>
      <c r="T26" s="52" t="s">
        <v>44</v>
      </c>
      <c r="U26" s="52" t="s">
        <v>42</v>
      </c>
      <c r="V26" s="52" t="s">
        <v>42</v>
      </c>
      <c r="W26" s="52" t="str">
        <f t="shared" si="12"/>
        <v>WO</v>
      </c>
      <c r="X26" s="52" t="s">
        <v>42</v>
      </c>
      <c r="Y26" s="52" t="s">
        <v>42</v>
      </c>
      <c r="Z26" s="52" t="s">
        <v>42</v>
      </c>
      <c r="AA26" s="52" t="s">
        <v>42</v>
      </c>
      <c r="AB26" s="52" t="s">
        <v>42</v>
      </c>
      <c r="AC26" s="52" t="s">
        <v>44</v>
      </c>
      <c r="AD26" s="52" t="str">
        <f t="shared" si="11"/>
        <v>WO</v>
      </c>
      <c r="AE26" s="52" t="s">
        <v>42</v>
      </c>
      <c r="AF26" s="52" t="s">
        <v>42</v>
      </c>
      <c r="AG26" s="52" t="s">
        <v>42</v>
      </c>
      <c r="AH26" s="52" t="s">
        <v>42</v>
      </c>
      <c r="AI26" s="52" t="s">
        <v>44</v>
      </c>
      <c r="AJ26" s="52" t="s">
        <v>42</v>
      </c>
      <c r="AK26" s="52" t="str">
        <f t="shared" si="11"/>
        <v>WO</v>
      </c>
      <c r="AL26" s="52" t="s">
        <v>42</v>
      </c>
      <c r="AM26" s="52" t="s">
        <v>42</v>
      </c>
      <c r="AN26" s="53" t="s">
        <v>42</v>
      </c>
      <c r="AO26" s="39"/>
      <c r="AP26" s="28">
        <v>20</v>
      </c>
      <c r="AQ26" s="21">
        <v>1020</v>
      </c>
      <c r="AR26" s="33" t="str">
        <f t="shared" si="4"/>
        <v>December</v>
      </c>
      <c r="AS26" s="21" t="s">
        <v>22</v>
      </c>
      <c r="AT26" s="29">
        <f t="shared" si="5"/>
        <v>24</v>
      </c>
      <c r="AU26" s="29">
        <f t="shared" si="6"/>
        <v>0</v>
      </c>
      <c r="AV26" s="29">
        <f t="shared" si="7"/>
        <v>3</v>
      </c>
      <c r="AW26" s="29">
        <f t="shared" si="8"/>
        <v>4</v>
      </c>
      <c r="AX26" s="30">
        <f t="shared" si="10"/>
        <v>31</v>
      </c>
      <c r="AY26" s="29">
        <f>DECReport[[#This Row],[Days]]-DECReport[[#This Row],[Adsent]]</f>
        <v>31</v>
      </c>
      <c r="AZ26" s="31">
        <v>30000</v>
      </c>
      <c r="BA26" s="32">
        <f>DECReport[[#This Row],[Salary]]/DECReport[[#This Row],[Days]]</f>
        <v>967.74193548387098</v>
      </c>
      <c r="BB26" s="31">
        <f>DECReport[[#This Row],[Perday salary]]*DECReport[[#This Row],[Adsent]]</f>
        <v>0</v>
      </c>
      <c r="BC26" s="31">
        <f>DECReport[[#This Row],[Salary]]-DECReport[[#This Row],[Detuction ]]</f>
        <v>30000</v>
      </c>
      <c r="BD26" s="29"/>
      <c r="BE26" s="39"/>
      <c r="BF26" s="37"/>
      <c r="BG26" s="37"/>
      <c r="BH26" s="37"/>
      <c r="BI26" s="37"/>
      <c r="BJ26" s="37"/>
      <c r="BK26" s="37"/>
    </row>
    <row r="27" spans="1:63" x14ac:dyDescent="0.3">
      <c r="D27" s="37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  <c r="AA27" s="41"/>
      <c r="AB27" s="41"/>
      <c r="AC27" s="41"/>
      <c r="AD27" s="41"/>
      <c r="AE27" s="41"/>
      <c r="AF27" s="41"/>
      <c r="AG27" s="41"/>
      <c r="AH27" s="41"/>
      <c r="AI27" s="41"/>
      <c r="AJ27" s="41"/>
      <c r="AK27" s="41"/>
      <c r="AL27" s="41"/>
      <c r="AM27" s="41"/>
      <c r="AN27" s="41"/>
      <c r="AO27" s="39"/>
      <c r="AP27" s="39"/>
      <c r="AQ27" s="39"/>
      <c r="AR27" s="39"/>
      <c r="AS27" s="39"/>
      <c r="AT27" s="39"/>
      <c r="AU27" s="39"/>
      <c r="AV27" s="39"/>
      <c r="AW27" s="39"/>
      <c r="AX27" s="39"/>
      <c r="AY27" s="39"/>
      <c r="AZ27" s="39"/>
      <c r="BA27" s="39"/>
      <c r="BB27" s="39"/>
      <c r="BC27" s="39"/>
      <c r="BD27" s="39"/>
      <c r="BE27" s="39"/>
      <c r="BF27" s="37"/>
      <c r="BG27" s="37"/>
      <c r="BH27" s="37"/>
      <c r="BI27" s="37"/>
      <c r="BJ27" s="37"/>
      <c r="BK27" s="37"/>
    </row>
    <row r="28" spans="1:63" x14ac:dyDescent="0.3"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  <c r="AA28" s="37"/>
      <c r="AB28" s="37"/>
      <c r="AC28" s="37"/>
      <c r="AD28" s="37"/>
      <c r="AE28" s="37"/>
      <c r="AF28" s="37"/>
      <c r="AG28" s="37"/>
      <c r="AH28" s="37"/>
      <c r="AI28" s="37"/>
      <c r="AJ28" s="37"/>
      <c r="AK28" s="37"/>
      <c r="AL28" s="37"/>
      <c r="AM28" s="37"/>
      <c r="AN28" s="37"/>
      <c r="AO28" s="37"/>
      <c r="AP28" s="37"/>
      <c r="AQ28" s="37"/>
      <c r="AR28" s="37"/>
      <c r="AS28" s="37"/>
      <c r="AT28" s="37"/>
      <c r="AU28" s="37"/>
      <c r="AV28" s="37"/>
      <c r="AW28" s="37"/>
      <c r="AX28" s="37"/>
      <c r="AY28" s="37"/>
      <c r="AZ28" s="37"/>
      <c r="BA28" s="37"/>
      <c r="BB28" s="37"/>
      <c r="BC28" s="37"/>
      <c r="BD28" s="37"/>
      <c r="BE28" s="37"/>
      <c r="BF28" s="37"/>
      <c r="BG28" s="37"/>
      <c r="BH28" s="37"/>
      <c r="BI28" s="37"/>
      <c r="BJ28" s="37"/>
      <c r="BK28" s="37"/>
    </row>
    <row r="29" spans="1:63" x14ac:dyDescent="0.3"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  <c r="AA29" s="37"/>
      <c r="AB29" s="37"/>
      <c r="AC29" s="37"/>
      <c r="AD29" s="37"/>
      <c r="AE29" s="37"/>
      <c r="AF29" s="37"/>
      <c r="AG29" s="37"/>
      <c r="AH29" s="37"/>
      <c r="AI29" s="37"/>
      <c r="AJ29" s="37"/>
      <c r="AK29" s="37"/>
      <c r="AL29" s="37"/>
      <c r="AM29" s="37"/>
      <c r="AN29" s="37"/>
      <c r="AO29" s="37"/>
      <c r="AP29" s="37"/>
      <c r="AQ29" s="37"/>
      <c r="AR29" s="37"/>
      <c r="AS29" s="37"/>
      <c r="AT29" s="37"/>
      <c r="AU29" s="37"/>
      <c r="AV29" s="37"/>
      <c r="AW29" s="37"/>
      <c r="AX29" s="37"/>
      <c r="AY29" s="37"/>
      <c r="AZ29" s="37"/>
      <c r="BA29" s="37"/>
      <c r="BB29" s="37"/>
      <c r="BC29" s="37"/>
      <c r="BD29" s="37"/>
      <c r="BE29" s="37"/>
      <c r="BF29" s="37"/>
      <c r="BG29" s="37"/>
      <c r="BH29" s="37"/>
      <c r="BI29" s="37"/>
      <c r="BJ29" s="37"/>
      <c r="BK29" s="37"/>
    </row>
    <row r="30" spans="1:63" x14ac:dyDescent="0.3">
      <c r="A30" s="37"/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  <c r="AA30" s="37"/>
      <c r="AB30" s="37"/>
      <c r="AC30" s="37"/>
      <c r="AD30" s="37"/>
      <c r="AE30" s="37"/>
      <c r="AF30" s="37"/>
      <c r="AG30" s="37"/>
      <c r="AH30" s="37"/>
      <c r="AI30" s="37"/>
      <c r="AJ30" s="37"/>
      <c r="AK30" s="37"/>
      <c r="AL30" s="37"/>
      <c r="AM30" s="37"/>
      <c r="AN30" s="37"/>
      <c r="AO30" s="37"/>
      <c r="AP30" s="37"/>
      <c r="AQ30" s="37"/>
      <c r="AR30" s="37"/>
      <c r="AS30" s="37"/>
      <c r="AT30" s="37"/>
      <c r="AU30" s="37"/>
      <c r="AV30" s="37"/>
      <c r="AW30" s="37"/>
      <c r="AX30" s="37"/>
      <c r="AY30" s="37"/>
      <c r="AZ30" s="37"/>
      <c r="BA30" s="37"/>
      <c r="BB30" s="37"/>
      <c r="BC30" s="37"/>
      <c r="BD30" s="37"/>
      <c r="BE30" s="37"/>
      <c r="BF30" s="37"/>
      <c r="BG30" s="37"/>
      <c r="BH30" s="37"/>
      <c r="BI30" s="37"/>
      <c r="BJ30" s="37"/>
      <c r="BK30" s="37"/>
    </row>
    <row r="31" spans="1:63" x14ac:dyDescent="0.3">
      <c r="A31" s="37"/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  <c r="AA31" s="37"/>
      <c r="AB31" s="37"/>
      <c r="AC31" s="37"/>
      <c r="AD31" s="37"/>
      <c r="AE31" s="37"/>
      <c r="AF31" s="37"/>
      <c r="AG31" s="37"/>
      <c r="AH31" s="37"/>
      <c r="AI31" s="37"/>
      <c r="AJ31" s="37"/>
      <c r="AK31" s="37"/>
      <c r="AL31" s="37"/>
      <c r="AM31" s="37"/>
      <c r="AN31" s="37"/>
      <c r="AO31" s="37"/>
      <c r="AP31" s="37"/>
      <c r="AQ31" s="37"/>
      <c r="AR31" s="37"/>
      <c r="AS31" s="37"/>
      <c r="AT31" s="37"/>
      <c r="AU31" s="37"/>
      <c r="AV31" s="37"/>
      <c r="AW31" s="37"/>
      <c r="AX31" s="37"/>
      <c r="AY31" s="37"/>
      <c r="AZ31" s="37"/>
      <c r="BA31" s="37"/>
      <c r="BB31" s="37"/>
      <c r="BC31" s="37"/>
      <c r="BD31" s="37"/>
      <c r="BE31" s="37"/>
      <c r="BF31" s="37"/>
      <c r="BG31" s="37"/>
      <c r="BH31" s="37"/>
      <c r="BI31" s="37"/>
      <c r="BJ31" s="37"/>
      <c r="BK31" s="37"/>
    </row>
    <row r="32" spans="1:63" x14ac:dyDescent="0.3">
      <c r="A32" s="37"/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  <c r="AA32" s="37"/>
      <c r="AB32" s="37"/>
      <c r="AC32" s="37"/>
      <c r="AD32" s="37"/>
      <c r="AE32" s="37"/>
      <c r="AF32" s="37"/>
      <c r="AG32" s="37"/>
      <c r="AH32" s="37"/>
      <c r="AI32" s="37"/>
      <c r="AJ32" s="37"/>
      <c r="AK32" s="37"/>
      <c r="AL32" s="37"/>
      <c r="AM32" s="37"/>
      <c r="AN32" s="37"/>
      <c r="AO32" s="37"/>
      <c r="AP32" s="37"/>
      <c r="AQ32" s="37"/>
      <c r="AR32" s="37"/>
      <c r="AS32" s="37"/>
      <c r="AT32" s="37"/>
      <c r="AU32" s="37"/>
      <c r="AV32" s="37"/>
      <c r="AW32" s="37"/>
      <c r="AX32" s="37"/>
      <c r="AY32" s="37"/>
      <c r="AZ32" s="37"/>
      <c r="BA32" s="37"/>
      <c r="BB32" s="37"/>
      <c r="BC32" s="37"/>
      <c r="BD32" s="37"/>
      <c r="BE32" s="37"/>
      <c r="BF32" s="37"/>
      <c r="BG32" s="37"/>
      <c r="BH32" s="37"/>
      <c r="BI32" s="37"/>
      <c r="BJ32" s="37"/>
      <c r="BK32" s="37"/>
    </row>
    <row r="33" spans="1:63" x14ac:dyDescent="0.3">
      <c r="A33" s="37"/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  <c r="AA33" s="37"/>
      <c r="AB33" s="37"/>
      <c r="AC33" s="37"/>
      <c r="AD33" s="37"/>
      <c r="AE33" s="37"/>
      <c r="AF33" s="37"/>
      <c r="AG33" s="37"/>
      <c r="AH33" s="37"/>
      <c r="AI33" s="37"/>
      <c r="AJ33" s="37"/>
      <c r="AK33" s="37"/>
      <c r="AL33" s="37"/>
      <c r="AM33" s="37"/>
      <c r="AN33" s="37"/>
      <c r="AO33" s="37"/>
      <c r="AP33" s="37"/>
      <c r="AQ33" s="37"/>
      <c r="AR33" s="37"/>
      <c r="AS33" s="37"/>
      <c r="AT33" s="37"/>
      <c r="AU33" s="37"/>
      <c r="AV33" s="37"/>
      <c r="AW33" s="37"/>
      <c r="AX33" s="37"/>
      <c r="AY33" s="37"/>
      <c r="AZ33" s="37"/>
      <c r="BA33" s="37"/>
      <c r="BB33" s="37"/>
      <c r="BC33" s="37"/>
      <c r="BD33" s="37"/>
      <c r="BE33" s="37"/>
      <c r="BF33" s="37"/>
      <c r="BG33" s="37"/>
      <c r="BH33" s="37"/>
      <c r="BI33" s="37"/>
      <c r="BJ33" s="37"/>
      <c r="BK33" s="37"/>
    </row>
    <row r="34" spans="1:63" x14ac:dyDescent="0.3">
      <c r="A34" s="37"/>
      <c r="B34" s="37"/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  <c r="AA34" s="37"/>
      <c r="AB34" s="37"/>
      <c r="AC34" s="37"/>
      <c r="AD34" s="37"/>
      <c r="AE34" s="37"/>
      <c r="AF34" s="37"/>
      <c r="AG34" s="37"/>
      <c r="AH34" s="37"/>
      <c r="AI34" s="37"/>
      <c r="AJ34" s="37"/>
      <c r="AK34" s="37"/>
      <c r="AL34" s="37"/>
      <c r="AM34" s="37"/>
      <c r="AN34" s="37"/>
      <c r="AO34" s="37"/>
      <c r="AP34" s="37"/>
      <c r="AQ34" s="37"/>
      <c r="AR34" s="37"/>
      <c r="AS34" s="37"/>
      <c r="AT34" s="37"/>
      <c r="AU34" s="37"/>
      <c r="AV34" s="37"/>
      <c r="AW34" s="37"/>
      <c r="AX34" s="37"/>
      <c r="AY34" s="37"/>
      <c r="AZ34" s="37"/>
      <c r="BA34" s="37"/>
      <c r="BB34" s="37"/>
      <c r="BC34" s="37"/>
      <c r="BD34" s="37"/>
      <c r="BE34" s="37"/>
      <c r="BF34" s="37"/>
      <c r="BG34" s="37"/>
      <c r="BH34" s="37"/>
      <c r="BI34" s="37"/>
      <c r="BJ34" s="37"/>
      <c r="BK34" s="37"/>
    </row>
    <row r="35" spans="1:63" x14ac:dyDescent="0.3">
      <c r="A35" s="37"/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  <c r="AA35" s="37"/>
      <c r="AB35" s="37"/>
      <c r="AC35" s="37"/>
      <c r="AD35" s="37"/>
      <c r="AE35" s="37"/>
      <c r="AF35" s="37"/>
      <c r="AG35" s="37"/>
      <c r="AH35" s="37"/>
      <c r="AI35" s="37"/>
      <c r="AJ35" s="37"/>
      <c r="AK35" s="37"/>
      <c r="AL35" s="37"/>
      <c r="AM35" s="37"/>
      <c r="AN35" s="37"/>
      <c r="AO35" s="37"/>
      <c r="AP35" s="37"/>
      <c r="AQ35" s="37"/>
      <c r="AR35" s="37"/>
      <c r="AS35" s="37"/>
      <c r="AT35" s="37"/>
      <c r="AU35" s="37"/>
      <c r="AV35" s="37"/>
      <c r="AW35" s="37"/>
      <c r="AX35" s="37"/>
      <c r="AY35" s="37"/>
      <c r="AZ35" s="37"/>
      <c r="BA35" s="37"/>
      <c r="BB35" s="37"/>
      <c r="BC35" s="37"/>
      <c r="BD35" s="37"/>
      <c r="BE35" s="37"/>
      <c r="BF35" s="37"/>
      <c r="BG35" s="37"/>
      <c r="BH35" s="37"/>
      <c r="BI35" s="37"/>
      <c r="BJ35" s="37"/>
      <c r="BK35" s="37"/>
    </row>
    <row r="36" spans="1:63" x14ac:dyDescent="0.3">
      <c r="A36" s="37"/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  <c r="AA36" s="37"/>
      <c r="AB36" s="37"/>
      <c r="AC36" s="37"/>
      <c r="AD36" s="37"/>
      <c r="AE36" s="37"/>
      <c r="AF36" s="37"/>
      <c r="AG36" s="37"/>
      <c r="AH36" s="37"/>
      <c r="AI36" s="37"/>
      <c r="AJ36" s="37"/>
      <c r="AK36" s="37"/>
      <c r="AL36" s="37"/>
      <c r="AM36" s="37"/>
      <c r="AN36" s="37"/>
      <c r="AO36" s="37"/>
      <c r="AP36" s="37"/>
      <c r="AQ36" s="37"/>
      <c r="AR36" s="37"/>
      <c r="AS36" s="37"/>
      <c r="AT36" s="37"/>
      <c r="AU36" s="37"/>
      <c r="AV36" s="37"/>
      <c r="AW36" s="37"/>
      <c r="AX36" s="37"/>
      <c r="AY36" s="37"/>
      <c r="AZ36" s="37"/>
      <c r="BA36" s="37"/>
      <c r="BB36" s="37"/>
      <c r="BC36" s="37"/>
      <c r="BD36" s="37"/>
      <c r="BE36" s="37"/>
      <c r="BF36" s="37"/>
      <c r="BG36" s="37"/>
      <c r="BH36" s="37"/>
      <c r="BI36" s="37"/>
      <c r="BJ36" s="37"/>
      <c r="BK36" s="37"/>
    </row>
    <row r="37" spans="1:63" x14ac:dyDescent="0.3">
      <c r="A37" s="37"/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37"/>
      <c r="AB37" s="37"/>
      <c r="AC37" s="37"/>
      <c r="AD37" s="37"/>
      <c r="AE37" s="37"/>
      <c r="AF37" s="37"/>
      <c r="AG37" s="37"/>
      <c r="AH37" s="37"/>
      <c r="AI37" s="37"/>
      <c r="AJ37" s="37"/>
      <c r="AK37" s="37"/>
      <c r="AL37" s="37"/>
      <c r="AM37" s="37"/>
      <c r="AN37" s="37"/>
      <c r="AO37" s="37"/>
      <c r="AP37" s="37"/>
      <c r="AQ37" s="37"/>
      <c r="AR37" s="37"/>
      <c r="AS37" s="37"/>
      <c r="AT37" s="37"/>
      <c r="AU37" s="37"/>
      <c r="AV37" s="37"/>
      <c r="AW37" s="37"/>
      <c r="AX37" s="37"/>
      <c r="AY37" s="37"/>
      <c r="AZ37" s="37"/>
      <c r="BA37" s="37"/>
      <c r="BB37" s="37"/>
      <c r="BC37" s="37"/>
      <c r="BD37" s="37"/>
      <c r="BE37" s="37"/>
      <c r="BF37" s="37"/>
      <c r="BG37" s="37"/>
      <c r="BH37" s="37"/>
      <c r="BI37" s="37"/>
      <c r="BJ37" s="37"/>
      <c r="BK37" s="37"/>
    </row>
    <row r="38" spans="1:63" x14ac:dyDescent="0.3">
      <c r="A38" s="37"/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  <c r="AA38" s="37"/>
      <c r="AB38" s="37"/>
      <c r="AC38" s="37"/>
      <c r="AD38" s="37"/>
      <c r="AE38" s="37"/>
      <c r="AF38" s="37"/>
      <c r="AG38" s="37"/>
      <c r="AH38" s="37"/>
      <c r="AI38" s="37"/>
      <c r="AJ38" s="37"/>
      <c r="AK38" s="37"/>
      <c r="AL38" s="37"/>
      <c r="AM38" s="37"/>
      <c r="AN38" s="37"/>
      <c r="AO38" s="37"/>
      <c r="AP38" s="37"/>
      <c r="AQ38" s="37"/>
      <c r="AR38" s="37"/>
      <c r="AS38" s="37"/>
      <c r="AT38" s="37"/>
      <c r="AU38" s="37"/>
      <c r="AV38" s="37"/>
      <c r="AW38" s="37"/>
      <c r="AX38" s="37"/>
      <c r="AY38" s="37"/>
      <c r="AZ38" s="37"/>
      <c r="BA38" s="37"/>
      <c r="BB38" s="37"/>
      <c r="BC38" s="37"/>
      <c r="BD38" s="37"/>
      <c r="BE38" s="37"/>
      <c r="BF38" s="37"/>
      <c r="BG38" s="37"/>
      <c r="BH38" s="37"/>
      <c r="BI38" s="37"/>
      <c r="BJ38" s="37"/>
      <c r="BK38" s="37"/>
    </row>
    <row r="39" spans="1:63" x14ac:dyDescent="0.3">
      <c r="A39" s="37"/>
      <c r="B39" s="37"/>
      <c r="C39" s="37"/>
      <c r="D39" s="37"/>
      <c r="E39" s="37"/>
      <c r="F39" s="37"/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  <c r="AA39" s="37"/>
      <c r="AB39" s="37"/>
      <c r="AC39" s="37"/>
      <c r="AD39" s="37"/>
      <c r="AE39" s="37"/>
      <c r="AF39" s="37"/>
      <c r="AG39" s="37"/>
      <c r="AH39" s="37"/>
      <c r="AI39" s="37"/>
      <c r="AJ39" s="37"/>
      <c r="AK39" s="37"/>
      <c r="AL39" s="37"/>
      <c r="AM39" s="37"/>
      <c r="AN39" s="37"/>
      <c r="AO39" s="37"/>
      <c r="AP39" s="37"/>
      <c r="AQ39" s="37"/>
      <c r="AR39" s="37"/>
      <c r="AS39" s="37"/>
      <c r="AT39" s="37"/>
      <c r="AU39" s="37"/>
      <c r="AV39" s="37"/>
      <c r="AW39" s="37"/>
      <c r="AX39" s="37"/>
      <c r="AY39" s="37"/>
      <c r="AZ39" s="37"/>
      <c r="BA39" s="37"/>
      <c r="BB39" s="37"/>
      <c r="BC39" s="37"/>
      <c r="BD39" s="37"/>
      <c r="BE39" s="37"/>
      <c r="BF39" s="37"/>
      <c r="BG39" s="37"/>
      <c r="BH39" s="37"/>
      <c r="BI39" s="37"/>
      <c r="BJ39" s="37"/>
      <c r="BK39" s="37"/>
    </row>
    <row r="40" spans="1:63" x14ac:dyDescent="0.3">
      <c r="A40" s="37"/>
      <c r="B40" s="37"/>
      <c r="C40" s="37"/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  <c r="AA40" s="37"/>
      <c r="AB40" s="37"/>
      <c r="AC40" s="37"/>
      <c r="AD40" s="37"/>
      <c r="AE40" s="37"/>
      <c r="AF40" s="37"/>
      <c r="AG40" s="37"/>
      <c r="AH40" s="37"/>
      <c r="AI40" s="37"/>
      <c r="AJ40" s="37"/>
      <c r="AK40" s="37"/>
      <c r="AL40" s="37"/>
      <c r="AM40" s="37"/>
      <c r="AN40" s="37"/>
      <c r="AO40" s="37"/>
      <c r="AP40" s="37"/>
      <c r="AQ40" s="37"/>
      <c r="AR40" s="37"/>
      <c r="AS40" s="37"/>
      <c r="AT40" s="37"/>
      <c r="AU40" s="37"/>
      <c r="AV40" s="37"/>
      <c r="AW40" s="37"/>
      <c r="AX40" s="37"/>
      <c r="AY40" s="37"/>
      <c r="AZ40" s="37"/>
      <c r="BA40" s="37"/>
      <c r="BB40" s="37"/>
      <c r="BC40" s="37"/>
      <c r="BD40" s="37"/>
      <c r="BE40" s="37"/>
      <c r="BF40" s="37"/>
      <c r="BG40" s="37"/>
      <c r="BH40" s="37"/>
      <c r="BI40" s="37"/>
      <c r="BJ40" s="37"/>
      <c r="BK40" s="37"/>
    </row>
    <row r="41" spans="1:63" x14ac:dyDescent="0.3">
      <c r="A41" s="37"/>
      <c r="B41" s="37"/>
      <c r="C41" s="37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  <c r="AA41" s="37"/>
      <c r="AB41" s="37"/>
      <c r="AC41" s="37"/>
      <c r="AD41" s="37"/>
      <c r="AE41" s="37"/>
      <c r="AF41" s="37"/>
      <c r="AG41" s="37"/>
      <c r="AH41" s="37"/>
      <c r="AI41" s="37"/>
      <c r="AJ41" s="37"/>
      <c r="AK41" s="37"/>
      <c r="AL41" s="37"/>
      <c r="AM41" s="37"/>
      <c r="AN41" s="37"/>
      <c r="AO41" s="37"/>
      <c r="AP41" s="37"/>
      <c r="AQ41" s="37"/>
      <c r="AR41" s="37"/>
      <c r="AS41" s="37"/>
      <c r="AT41" s="37"/>
      <c r="AU41" s="37"/>
      <c r="AV41" s="37"/>
      <c r="AW41" s="37"/>
      <c r="AX41" s="37"/>
      <c r="AY41" s="37"/>
      <c r="AZ41" s="37"/>
      <c r="BA41" s="37"/>
      <c r="BB41" s="37"/>
      <c r="BC41" s="37"/>
      <c r="BD41" s="37"/>
      <c r="BE41" s="37"/>
      <c r="BF41" s="37"/>
      <c r="BG41" s="37"/>
      <c r="BH41" s="37"/>
      <c r="BI41" s="37"/>
      <c r="BJ41" s="37"/>
      <c r="BK41" s="37"/>
    </row>
    <row r="42" spans="1:63" x14ac:dyDescent="0.3">
      <c r="A42" s="37"/>
      <c r="B42" s="37"/>
      <c r="C42" s="37"/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  <c r="AA42" s="37"/>
      <c r="AB42" s="37"/>
      <c r="AC42" s="37"/>
      <c r="AD42" s="37"/>
      <c r="AE42" s="37"/>
      <c r="AF42" s="37"/>
      <c r="AG42" s="37"/>
      <c r="AH42" s="37"/>
      <c r="AI42" s="37"/>
      <c r="AJ42" s="37"/>
      <c r="AK42" s="37"/>
      <c r="AL42" s="37"/>
      <c r="AM42" s="37"/>
      <c r="AN42" s="37"/>
      <c r="AO42" s="37"/>
      <c r="AP42" s="37"/>
      <c r="AQ42" s="37"/>
      <c r="AR42" s="37"/>
      <c r="AS42" s="37"/>
      <c r="AT42" s="37"/>
      <c r="AU42" s="37"/>
      <c r="AV42" s="37"/>
      <c r="AW42" s="37"/>
      <c r="AX42" s="37"/>
      <c r="AY42" s="37"/>
      <c r="AZ42" s="37"/>
      <c r="BA42" s="37"/>
      <c r="BB42" s="37"/>
      <c r="BC42" s="37"/>
      <c r="BD42" s="37"/>
      <c r="BE42" s="37"/>
      <c r="BF42" s="37"/>
      <c r="BG42" s="37"/>
      <c r="BH42" s="37"/>
      <c r="BI42" s="37"/>
      <c r="BJ42" s="37"/>
      <c r="BK42" s="37"/>
    </row>
    <row r="43" spans="1:63" x14ac:dyDescent="0.3">
      <c r="A43" s="37"/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  <c r="AA43" s="37"/>
      <c r="AB43" s="37"/>
      <c r="AC43" s="37"/>
      <c r="AD43" s="37"/>
      <c r="AE43" s="37"/>
      <c r="AF43" s="37"/>
      <c r="AG43" s="37"/>
      <c r="AH43" s="37"/>
      <c r="AI43" s="37"/>
      <c r="AJ43" s="37"/>
      <c r="AK43" s="37"/>
      <c r="AL43" s="37"/>
      <c r="AM43" s="37"/>
      <c r="AN43" s="37"/>
      <c r="AO43" s="37"/>
      <c r="AP43" s="37"/>
      <c r="AQ43" s="37"/>
      <c r="AR43" s="37"/>
      <c r="AS43" s="37"/>
      <c r="AT43" s="37"/>
      <c r="AU43" s="37"/>
      <c r="AV43" s="37"/>
      <c r="AW43" s="37"/>
      <c r="AX43" s="37"/>
      <c r="AY43" s="37"/>
      <c r="AZ43" s="37"/>
      <c r="BA43" s="37"/>
      <c r="BB43" s="37"/>
      <c r="BC43" s="37"/>
      <c r="BD43" s="37"/>
      <c r="BE43" s="37"/>
      <c r="BF43" s="37"/>
      <c r="BG43" s="37"/>
      <c r="BH43" s="37"/>
      <c r="BI43" s="37"/>
      <c r="BJ43" s="37"/>
      <c r="BK43" s="37"/>
    </row>
    <row r="44" spans="1:63" x14ac:dyDescent="0.3">
      <c r="A44" s="37"/>
      <c r="B44" s="37"/>
      <c r="C44" s="37"/>
      <c r="D44" s="37"/>
      <c r="E44" s="37"/>
      <c r="F44" s="37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  <c r="AA44" s="37"/>
      <c r="AB44" s="37"/>
      <c r="AC44" s="37"/>
      <c r="AD44" s="37"/>
      <c r="AE44" s="37"/>
      <c r="AF44" s="37"/>
      <c r="AG44" s="37"/>
      <c r="AH44" s="37"/>
      <c r="AI44" s="37"/>
      <c r="AJ44" s="37"/>
      <c r="AK44" s="37"/>
      <c r="AL44" s="37"/>
      <c r="AM44" s="37"/>
      <c r="AN44" s="37"/>
      <c r="AO44" s="37"/>
      <c r="AP44" s="37"/>
      <c r="AQ44" s="37"/>
      <c r="AR44" s="37"/>
      <c r="AS44" s="37"/>
      <c r="AT44" s="37"/>
      <c r="AU44" s="37"/>
      <c r="AV44" s="37"/>
      <c r="AW44" s="37"/>
      <c r="AX44" s="37"/>
      <c r="AY44" s="37"/>
      <c r="AZ44" s="37"/>
      <c r="BA44" s="37"/>
      <c r="BB44" s="37"/>
      <c r="BC44" s="37"/>
      <c r="BD44" s="37"/>
      <c r="BE44" s="37"/>
      <c r="BF44" s="37"/>
      <c r="BG44" s="37"/>
      <c r="BH44" s="37"/>
      <c r="BI44" s="37"/>
      <c r="BJ44" s="37"/>
      <c r="BK44" s="37"/>
    </row>
    <row r="45" spans="1:63" x14ac:dyDescent="0.3">
      <c r="A45" s="37"/>
      <c r="B45" s="37"/>
      <c r="C45" s="37"/>
      <c r="E45" s="37"/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  <c r="AA45" s="37"/>
      <c r="AB45" s="37"/>
      <c r="AC45" s="37"/>
      <c r="AD45" s="37"/>
      <c r="AE45" s="37"/>
      <c r="AF45" s="37"/>
      <c r="AG45" s="37"/>
      <c r="AH45" s="37"/>
      <c r="AI45" s="37"/>
      <c r="AJ45" s="37"/>
      <c r="AK45" s="37"/>
      <c r="AL45" s="37"/>
      <c r="AM45" s="37"/>
      <c r="AN45" s="37"/>
      <c r="AO45" s="37"/>
      <c r="AP45" s="37"/>
      <c r="AQ45" s="37"/>
      <c r="AR45" s="37"/>
      <c r="AS45" s="37"/>
      <c r="AT45" s="37"/>
      <c r="AU45" s="37"/>
      <c r="AV45" s="37"/>
      <c r="AW45" s="37"/>
      <c r="AX45" s="37"/>
      <c r="AY45" s="37"/>
      <c r="AZ45" s="37"/>
      <c r="BA45" s="37"/>
      <c r="BB45" s="37"/>
      <c r="BC45" s="37"/>
      <c r="BD45" s="37"/>
      <c r="BE45" s="37"/>
      <c r="BF45" s="37"/>
      <c r="BG45" s="37"/>
      <c r="BH45" s="37"/>
      <c r="BI45" s="37"/>
      <c r="BJ45" s="37"/>
      <c r="BK45" s="37"/>
    </row>
    <row r="46" spans="1:63" x14ac:dyDescent="0.3">
      <c r="A46" s="37"/>
      <c r="B46" s="37"/>
      <c r="C46" s="37"/>
      <c r="D46" s="37"/>
      <c r="E46" s="37"/>
      <c r="F46" s="37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  <c r="AA46" s="37"/>
      <c r="AB46" s="37"/>
      <c r="AC46" s="37"/>
      <c r="AD46" s="37"/>
      <c r="AE46" s="37"/>
      <c r="AF46" s="37"/>
      <c r="AG46" s="37"/>
      <c r="AH46" s="37"/>
      <c r="AI46" s="37"/>
      <c r="AJ46" s="37"/>
      <c r="AK46" s="37"/>
      <c r="AL46" s="37"/>
      <c r="AM46" s="37"/>
      <c r="AN46" s="37"/>
      <c r="AO46" s="37"/>
      <c r="AP46" s="37"/>
      <c r="AQ46" s="37"/>
      <c r="AR46" s="37"/>
      <c r="AS46" s="37"/>
      <c r="AT46" s="37"/>
      <c r="AU46" s="37"/>
      <c r="AV46" s="37"/>
      <c r="AW46" s="37"/>
      <c r="AX46" s="37"/>
      <c r="AY46" s="37"/>
      <c r="AZ46" s="37"/>
      <c r="BA46" s="37"/>
      <c r="BB46" s="37"/>
      <c r="BC46" s="37"/>
      <c r="BD46" s="37"/>
      <c r="BE46" s="37"/>
      <c r="BF46" s="37"/>
      <c r="BG46" s="37"/>
      <c r="BH46" s="37"/>
      <c r="BI46" s="37"/>
      <c r="BJ46" s="37"/>
      <c r="BK46" s="37"/>
    </row>
    <row r="47" spans="1:63" x14ac:dyDescent="0.3">
      <c r="A47" s="37"/>
      <c r="B47" s="37"/>
      <c r="C47" s="37"/>
      <c r="D47" s="37"/>
      <c r="E47" s="37"/>
      <c r="F47" s="37"/>
      <c r="G47" s="37"/>
      <c r="H47" s="37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  <c r="AA47" s="37"/>
      <c r="AB47" s="37"/>
      <c r="AC47" s="37"/>
      <c r="AD47" s="37"/>
      <c r="AE47" s="37"/>
      <c r="AF47" s="37"/>
      <c r="AG47" s="37"/>
      <c r="AH47" s="37"/>
      <c r="AI47" s="37"/>
      <c r="AJ47" s="37"/>
      <c r="AK47" s="37"/>
      <c r="AL47" s="37"/>
      <c r="AM47" s="37"/>
      <c r="AN47" s="37"/>
      <c r="AO47" s="37"/>
      <c r="AP47" s="37"/>
      <c r="AQ47" s="37"/>
      <c r="AR47" s="37"/>
      <c r="AS47" s="37"/>
      <c r="AT47" s="37"/>
      <c r="AU47" s="37"/>
      <c r="AV47" s="37"/>
      <c r="AW47" s="37"/>
      <c r="AX47" s="37"/>
      <c r="AY47" s="37"/>
      <c r="AZ47" s="37"/>
      <c r="BA47" s="37"/>
      <c r="BB47" s="37"/>
      <c r="BC47" s="37"/>
      <c r="BD47" s="37"/>
      <c r="BE47" s="37"/>
      <c r="BF47" s="37"/>
      <c r="BG47" s="37"/>
      <c r="BH47" s="37"/>
      <c r="BI47" s="37"/>
      <c r="BJ47" s="37"/>
      <c r="BK47" s="37"/>
    </row>
    <row r="48" spans="1:63" x14ac:dyDescent="0.3">
      <c r="A48" s="37"/>
      <c r="B48" s="37"/>
      <c r="C48" s="37"/>
      <c r="D48" s="37"/>
      <c r="E48" s="37"/>
      <c r="F48" s="37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  <c r="AA48" s="37"/>
      <c r="AB48" s="37"/>
      <c r="AC48" s="37"/>
      <c r="AD48" s="37"/>
      <c r="AE48" s="37"/>
      <c r="AF48" s="37"/>
      <c r="AG48" s="37"/>
      <c r="AH48" s="37"/>
      <c r="AI48" s="37"/>
      <c r="AJ48" s="37"/>
      <c r="AK48" s="37"/>
      <c r="AL48" s="37"/>
      <c r="AM48" s="37"/>
      <c r="AN48" s="37"/>
      <c r="AO48" s="37"/>
      <c r="AP48" s="37"/>
      <c r="AQ48" s="37"/>
      <c r="AR48" s="37"/>
      <c r="AS48" s="37"/>
      <c r="AT48" s="37"/>
      <c r="AU48" s="37"/>
      <c r="AV48" s="37"/>
      <c r="AW48" s="37"/>
      <c r="AX48" s="37"/>
      <c r="AY48" s="37"/>
      <c r="AZ48" s="37"/>
      <c r="BA48" s="37"/>
      <c r="BB48" s="37"/>
      <c r="BC48" s="37"/>
      <c r="BD48" s="37"/>
      <c r="BE48" s="37"/>
      <c r="BF48" s="37"/>
      <c r="BG48" s="37"/>
      <c r="BH48" s="37"/>
      <c r="BI48" s="37"/>
      <c r="BJ48" s="37"/>
      <c r="BK48" s="37"/>
    </row>
    <row r="49" spans="1:4" x14ac:dyDescent="0.3">
      <c r="A49" s="37"/>
      <c r="B49" s="37"/>
      <c r="C49" s="37"/>
      <c r="D49" s="37"/>
    </row>
  </sheetData>
  <mergeCells count="1">
    <mergeCell ref="F5:H5"/>
  </mergeCells>
  <conditionalFormatting sqref="J7:AN26">
    <cfRule type="containsText" dxfId="23" priority="1" operator="containsText" text="P">
      <formula>NOT(ISERROR(SEARCH("P",J7)))</formula>
    </cfRule>
    <cfRule type="containsText" dxfId="22" priority="2" operator="containsText" text="L">
      <formula>NOT(ISERROR(SEARCH("L",J7)))</formula>
    </cfRule>
    <cfRule type="containsText" dxfId="21" priority="3" operator="containsText" text="A">
      <formula>NOT(ISERROR(SEARCH("A",J7)))</formula>
    </cfRule>
    <cfRule type="containsText" dxfId="20" priority="4" operator="containsText" text="WO">
      <formula>NOT(ISERROR(SEARCH("WO",J7)))</formula>
    </cfRule>
    <cfRule type="containsText" dxfId="19" priority="5" operator="containsText" text="WO">
      <formula>NOT(ISERROR(SEARCH("WO",J7)))</formula>
    </cfRule>
  </conditionalFormatting>
  <dataValidations count="2">
    <dataValidation type="list" allowBlank="1" showInputMessage="1" showErrorMessage="1" sqref="J7 J7:O26 Q7:V26 X7:AC26 AE7:AJ26 AL7:AN26">
      <formula1>"P,A,L"</formula1>
    </dataValidation>
    <dataValidation type="list" allowBlank="1" showInputMessage="1" showErrorMessage="1" sqref="H4">
      <formula1>#REF!</formula1>
    </dataValidation>
  </dataValidations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DEC!AT7:AW7</xm:f>
              <xm:sqref>BD7</xm:sqref>
            </x14:sparkline>
            <x14:sparkline>
              <xm:f>DEC!AT8:AW8</xm:f>
              <xm:sqref>BD8</xm:sqref>
            </x14:sparkline>
            <x14:sparkline>
              <xm:f>DEC!AT9:AW9</xm:f>
              <xm:sqref>BD9</xm:sqref>
            </x14:sparkline>
            <x14:sparkline>
              <xm:f>DEC!AT10:AW10</xm:f>
              <xm:sqref>BD10</xm:sqref>
            </x14:sparkline>
            <x14:sparkline>
              <xm:f>DEC!AT11:AW11</xm:f>
              <xm:sqref>BD11</xm:sqref>
            </x14:sparkline>
            <x14:sparkline>
              <xm:f>DEC!AT12:AW12</xm:f>
              <xm:sqref>BD12</xm:sqref>
            </x14:sparkline>
            <x14:sparkline>
              <xm:f>DEC!AT13:AW13</xm:f>
              <xm:sqref>BD13</xm:sqref>
            </x14:sparkline>
            <x14:sparkline>
              <xm:f>DEC!AT14:AW14</xm:f>
              <xm:sqref>BD14</xm:sqref>
            </x14:sparkline>
            <x14:sparkline>
              <xm:f>DEC!AT15:AW15</xm:f>
              <xm:sqref>BD15</xm:sqref>
            </x14:sparkline>
            <x14:sparkline>
              <xm:f>DEC!AT16:AW16</xm:f>
              <xm:sqref>BD16</xm:sqref>
            </x14:sparkline>
            <x14:sparkline>
              <xm:f>DEC!AT17:AW17</xm:f>
              <xm:sqref>BD17</xm:sqref>
            </x14:sparkline>
            <x14:sparkline>
              <xm:f>DEC!AT18:AW18</xm:f>
              <xm:sqref>BD18</xm:sqref>
            </x14:sparkline>
            <x14:sparkline>
              <xm:f>DEC!AT19:AW19</xm:f>
              <xm:sqref>BD19</xm:sqref>
            </x14:sparkline>
            <x14:sparkline>
              <xm:f>DEC!AT20:AW20</xm:f>
              <xm:sqref>BD20</xm:sqref>
            </x14:sparkline>
            <x14:sparkline>
              <xm:f>DEC!AT21:AW21</xm:f>
              <xm:sqref>BD21</xm:sqref>
            </x14:sparkline>
            <x14:sparkline>
              <xm:f>DEC!AT22:AW22</xm:f>
              <xm:sqref>BD22</xm:sqref>
            </x14:sparkline>
            <x14:sparkline>
              <xm:f>DEC!AT23:AW23</xm:f>
              <xm:sqref>BD23</xm:sqref>
            </x14:sparkline>
            <x14:sparkline>
              <xm:f>DEC!AT24:AW24</xm:f>
              <xm:sqref>BD24</xm:sqref>
            </x14:sparkline>
            <x14:sparkline>
              <xm:f>DEC!AT25:AW25</xm:f>
              <xm:sqref>BD25</xm:sqref>
            </x14:sparkline>
            <x14:sparkline>
              <xm:f>DEC!AT26:AW26</xm:f>
              <xm:sqref>BD26</xm:sqref>
            </x14:sparkline>
          </x14:sparklines>
        </x14:sparklineGroup>
      </x14:sparklineGroup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DataSheet1</vt:lpstr>
      <vt:lpstr>JAN</vt:lpstr>
      <vt:lpstr>FEB</vt:lpstr>
      <vt:lpstr>MAR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SINGH</dc:creator>
  <cp:lastModifiedBy>acer</cp:lastModifiedBy>
  <dcterms:created xsi:type="dcterms:W3CDTF">2025-11-01T12:43:08Z</dcterms:created>
  <dcterms:modified xsi:type="dcterms:W3CDTF">2025-11-28T05:54:29Z</dcterms:modified>
</cp:coreProperties>
</file>